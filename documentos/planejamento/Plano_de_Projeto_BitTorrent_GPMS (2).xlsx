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apa" sheetId="2" r:id="rId5"/>
    <sheet state="visible" name="Escopo_EAP" sheetId="3" r:id="rId6"/>
    <sheet state="visible" name="Papeis" sheetId="4" r:id="rId7"/>
    <sheet state="visible" name="Planning_Poker" sheetId="5" r:id="rId8"/>
    <sheet state="visible" name="Cronograma_Orcamento" sheetId="6" r:id="rId9"/>
    <sheet state="visible" name="Riscos" sheetId="7" r:id="rId10"/>
    <sheet state="visible" name="Burndown" sheetId="8" r:id="rId11"/>
    <sheet state="visible" name="EVM" sheetId="9" r:id="rId12"/>
    <sheet state="hidden" name="Listas" sheetId="10" r:id="rId13"/>
  </sheets>
  <definedNames/>
  <calcPr/>
  <extLst>
    <ext uri="GoogleSheetsCustomDataVersion2">
      <go:sheetsCustomData xmlns:go="http://customooxmlschemas.google.com/" r:id="rId14" roundtripDataChecksum="hV6Z2r4OtHUlQezPAuxeYj0a5bzF4YMthTxssy1c+c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======
ID#AAACGr_98OI
Unknown Author    (2026-09-08 01:30:10)
Modelo de Planning Poker: cada coluna 'Membro' é o valor que aquele integrante colocou na rodada de cartas. A Estimativa Final é definida em consenso pelo grupo após discutir os valores discrepantes — não precisa ser igual à média. Os valores aqui são ilustrativos (gerados como ponto de partida); substituam pela rodada real do grupo.</t>
      </text>
    </comment>
  </commentList>
  <extLst>
    <ext uri="GoogleSheetsCustomDataVersion2">
      <go:sheetsCustomData xmlns:go="http://customooxmlschemas.google.com/" r:id="rId1" roundtripDataSignature="AMtx7mjmtxmgFfgQFfb+jl1HPquLfrfPp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======
ID#AAACGr_98N4
Unknown Author    (2026-09-08 01:30:10)
Sugestão inicial de divisão: um dev "dono" por fase (Carlos Henrique: Fases 1.2-1.3 e 4; Felipe: Fase 2 e testes de integração; Vinicios: Fase 3; Luiz Eduardo: Fase 5; Lucio: documentação; Lucas: parser já feito + apresentações). O grupo pode reatribuir livremente.</t>
      </text>
    </comment>
    <comment authorId="0" ref="C9">
      <text>
        <t xml:space="preserve">======
ID#AAACGr_98Ns
Unknown Author    (2026-09-08 01:30:10)
Custo por hora × jornada diária — é este valor (não o custo/hora isolado) que multiplica a duração de cada pacote de trabalho para chegar ao custo total.</t>
      </text>
    </comment>
    <comment authorId="0" ref="C7">
      <text>
        <t xml:space="preserve">======
ID#AAACGr_98OQ
Unknown Author    (2026-09-08 01:30:10)
R$150,00/hora — valor de referência de mercado usado pelo próprio grupo em um projeto real anterior. Ajuste se quiser refletir outro valor.</t>
      </text>
    </comment>
    <comment authorId="0" ref="I12">
      <text>
        <t xml:space="preserve">======
ID#AAACGr_98OE
Unknown Author    (2026-09-08 01:30:10)
É este campo (não o Status) que alimenta o EVM e o Dashboard — atualize os dois juntos para não ficarem dessincronizados (ex.: Status='Concluído' também deve virar % Concluído=100%).</t>
      </text>
    </comment>
    <comment authorId="0" ref="C6">
      <text>
        <t xml:space="preserve">======
ID#AAACGr_98No
Unknown Author    (2026-09-08 01:30:10)
Início logo depois da Rodada 2 (06/10/2026). Meta: Diferenciais (o que couber) + testes/documentação/entrega até a Rodada 3 (10/11/2026).</t>
      </text>
    </comment>
    <comment authorId="0" ref="C5">
      <text>
        <t xml:space="preserve">======
ID#AAACGr_98OU
Unknown Author    (2026-09-08 01:30:10)
Início da execução logo DEPOIS da Rodada 1 (08/09/2026) — a Rodada 1 é planejamento, não um prazo de entrega de código. Meta: concluir o núcleo até a Rodada 2.</t>
      </text>
    </comment>
    <comment authorId="0" ref="C4">
      <text>
        <t xml:space="preserve">======
ID#AAACGr_98Nk
Unknown Author    (2026-09-08 01:30:10)
Data em que o parser B-encode (pacote 1.1) ficou pronto, ainda durante o planejamento — é o único item feito antes da Rodada 1. Ajuste para a data real.</t>
      </text>
    </comment>
  </commentList>
  <extLst>
    <ext uri="GoogleSheetsCustomDataVersion2">
      <go:sheetsCustomData xmlns:go="http://customooxmlschemas.google.com/" r:id="rId1" roundtripDataSignature="AMtx7mjC03njIEbr4j3mw0ka8308JLkx5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======
ID#AAACGr_98OM
Unknown Author    (2026-09-08 01:30:10)
Janela entre a Rodada 1 (08/09) e a Rodada 2 (06/10) = 27 dias corridos. Ajuste conforme o grupo replanejar.</t>
      </text>
    </comment>
    <comment authorId="0" ref="C4">
      <text>
        <t xml:space="preserve">======
ID#AAACGr_98N0
Unknown Author    (2026-09-08 01:30:10)
Soma das micro-tarefas das Fases 1-4 (núcleo), sem contar o parser (1.1), que já foi concluído antes da Rodada 1 e por isso não faz parte deste sprint de execução.</t>
      </text>
    </comment>
  </commentList>
  <extLst>
    <ext uri="GoogleSheetsCustomDataVersion2">
      <go:sheetsCustomData xmlns:go="http://customooxmlschemas.google.com/" r:id="rId1" roundtripDataSignature="AMtx7mhhYwxNqcqKPVPUZLD5RG0JAGxJq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======
ID#AAACGr_98N8
Unknown Author    (2026-09-08 01:30:10)
Fórmula: soma o custo de todos os pacotes do Cronograma com Data Fim planejada até esta data, dividido pelo BAC. Atualiza sozinho se o cronograma mudar.</t>
      </text>
    </comment>
    <comment authorId="0" ref="D7">
      <text>
        <t xml:space="preserve">======
ID#AAACGr_98Nw
Unknown Author    (2026-09-08 01:30:10)
Fórmula ao vivo: SUMPRODUCT(% Concluído x Custo Total) de cada pacote do Cronograma, dividido pelo BAC — dá crédito proporcional (um pacote 50% concluído conta metade do seu custo). Rodadas 2 e 3 ficam como valor manual (preencher quando a rodada realmente acontecer).</t>
      </text>
    </comment>
    <comment authorId="0" ref="C4">
      <text>
        <t xml:space="preserve">======
ID#AAACGr_98OA
Unknown Author    (2026-09-08 01:30:10)
Soma do custo de todos os 44 pacotes de trabalho (Cronograma_Orcamento). Cresce/muda automaticamente se o grupo ajustar estimativas ou o custo por homem-dia.</t>
      </text>
    </comment>
  </commentList>
  <extLst>
    <ext uri="GoogleSheetsCustomDataVersion2">
      <go:sheetsCustomData xmlns:go="http://customooxmlschemas.google.com/" r:id="rId1" roundtripDataSignature="AMtx7mhQ7gjNSF0gevCkUb/nkS4rgFMcDQ=="/>
    </ext>
  </extLst>
</comments>
</file>

<file path=xl/sharedStrings.xml><?xml version="1.0" encoding="utf-8"?>
<sst xmlns="http://schemas.openxmlformats.org/spreadsheetml/2006/main" count="729" uniqueCount="373">
  <si>
    <t>PLANO DE PROJETO — CONTROLE INTEGRADO (GPMS)</t>
  </si>
  <si>
    <t>ESCOPO DO PROJETO — ESTRUTURA ANALÍTICA (EAP)</t>
  </si>
  <si>
    <t>PAPÉIS E RESPONSABILIDADES DO GRUPO</t>
  </si>
  <si>
    <t>Base de trabalho para as Rodadas 1, 2 e 3 — não é o entregável final, é a ferramenta de gestão do grupo</t>
  </si>
  <si>
    <t>Projeto:</t>
  </si>
  <si>
    <t>Cliente/Tracker de compartilhamento de arquivos (estilo BitTorrent, com tracker central)</t>
  </si>
  <si>
    <t>Disciplina:</t>
  </si>
  <si>
    <t>ID</t>
  </si>
  <si>
    <t>GPMS (TCC00363) — Prof. Rebeca Motta</t>
  </si>
  <si>
    <t>Nível</t>
  </si>
  <si>
    <t>Pacote de Trabalho / Atividade</t>
  </si>
  <si>
    <t>Descrição</t>
  </si>
  <si>
    <t>Grupo (integrantes):</t>
  </si>
  <si>
    <t>Responsável</t>
  </si>
  <si>
    <t>Lucas Ardelino, Carlos Henrique, Felipe, Lucio, Vinicios, Luiz Eduardo</t>
  </si>
  <si>
    <t>Status</t>
  </si>
  <si>
    <t>Observações</t>
  </si>
  <si>
    <t>Repositório GitHub:</t>
  </si>
  <si>
    <t>Papel</t>
  </si>
  <si>
    <t>https://github.com/Iucio/BitTorrentWannaBe (licença MIT)</t>
  </si>
  <si>
    <t>1</t>
  </si>
  <si>
    <t>Integrante(s)</t>
  </si>
  <si>
    <t>LEGENDA DE CORES</t>
  </si>
  <si>
    <t>Responsabilidades principais</t>
  </si>
  <si>
    <t>Texto azul</t>
  </si>
  <si>
    <t>Acumula outro papel?</t>
  </si>
  <si>
    <t>Campo de entrada — o grupo deve preencher/editar</t>
  </si>
  <si>
    <t>Justificativa (se acumula)</t>
  </si>
  <si>
    <t>Texto verde</t>
  </si>
  <si>
    <t>Protocolo e Parser</t>
  </si>
  <si>
    <t>Gerente de Projeto (GP)</t>
  </si>
  <si>
    <t>Codificação/decodificação e serialização das mensagens do protocolo tracker/cliente e cliente/cliente</t>
  </si>
  <si>
    <t>Valor vinculado (fórmula) de outra aba — não editar diretamente, edite na aba de origem</t>
  </si>
  <si>
    <t>Texto preto</t>
  </si>
  <si>
    <t>Fórmula calculada automaticamente — não editar</t>
  </si>
  <si>
    <t>Fundo azul-claro</t>
  </si>
  <si>
    <t>Lucas Ardelino</t>
  </si>
  <si>
    <t>Linha de nível 1 da EAP (fase / entrega macro)</t>
  </si>
  <si>
    <t>Não iniciado</t>
  </si>
  <si>
    <t>GUIA DAS ABAS</t>
  </si>
  <si>
    <t>Consolida o plano de projeto (escopo, cronograma, orçamento, riscos); conduz o monitoramento e controle (EVM/burndown); reporta o andamento nas apresentações.</t>
  </si>
  <si>
    <t>1.1</t>
  </si>
  <si>
    <t>Não</t>
  </si>
  <si>
    <t xml:space="preserve">     Parser B-encode (encode/decode)</t>
  </si>
  <si>
    <t>Implementação do parser.py — leitura e escrita de int, byte string, lista e dicionário</t>
  </si>
  <si>
    <t>Escopo_EAP</t>
  </si>
  <si>
    <t>Product Owner (PO)</t>
  </si>
  <si>
    <t>Concluído</t>
  </si>
  <si>
    <t>Estrutura Analítica do Projeto — escopo do produto e do projeto, decomposto em pacotes de trabalho.</t>
  </si>
  <si>
    <t>Papeis</t>
  </si>
  <si>
    <t>Felipe</t>
  </si>
  <si>
    <t>Papéis do grupo (GP, PO, Scrum Master, Resp. Configuração, Devs) e integrantes.</t>
  </si>
  <si>
    <t>Define e prioriza requisitos/backlog; representa a visão do produto; decide o que entra em cada iteração.</t>
  </si>
  <si>
    <t>Planning_Poker</t>
  </si>
  <si>
    <t>Estimativa de esforço em consenso para cada pacote de trabalho da EAP.</t>
  </si>
  <si>
    <t>Sim</t>
  </si>
  <si>
    <t>Cronograma_Orcamento</t>
  </si>
  <si>
    <t>Acumula com Desenvolvedor(a) para reforçar a frente de implementação.</t>
  </si>
  <si>
    <t>Datas, duração, custo e Gráfico de Gantt do projeto.</t>
  </si>
  <si>
    <t>Scrum Master / Facilitador</t>
  </si>
  <si>
    <t>Carlos Henrique</t>
  </si>
  <si>
    <t>Riscos</t>
  </si>
  <si>
    <t>1.2</t>
  </si>
  <si>
    <t>Conduz as cerimônias (planning, daily, review, retrospectiva); remove impedimentos; garante que o processo está sendo seguido.</t>
  </si>
  <si>
    <t>Registro de riscos: probabilidade × impacto × exposição, priorização e planos de resposta.</t>
  </si>
  <si>
    <t xml:space="preserve">     Testes do parser B-encode</t>
  </si>
  <si>
    <t>Burndown</t>
  </si>
  <si>
    <t>Casos de teste unitários cobrindo encode e decode, incluindo casos de borda</t>
  </si>
  <si>
    <t>Acompanhamento do trabalho restante dentro de uma iteração/sprint.</t>
  </si>
  <si>
    <t>Responsável por Configuração</t>
  </si>
  <si>
    <t>Lucio</t>
  </si>
  <si>
    <t>EVM</t>
  </si>
  <si>
    <t>Análise de Valor Agregado (PV, EV, AC, SPI, CPI) ao final de cada rodada.</t>
  </si>
  <si>
    <t>Define e mantém a estratégia de branches, organiza issues/milestones no GitHub, garante que o repositório está íntegro e documentado.</t>
  </si>
  <si>
    <t>1.2.1</t>
  </si>
  <si>
    <t>Dashboard</t>
  </si>
  <si>
    <t>Painel-resumo com os principais indicadores e gráficos do projeto.</t>
  </si>
  <si>
    <t xml:space="preserve">          – Testes de decodificação (inteiros, strings, listas, dicionários)</t>
  </si>
  <si>
    <t>Datas das Rodadas (calendário oficial): Rodada 1 = 08–10/09/2026 · Rodada 2 = 06–08/10/2026 · Rodada 3 = 10–12/11/2026.</t>
  </si>
  <si>
    <t>Casos normais de decode para cada tipo bencode</t>
  </si>
  <si>
    <t>1.2.2</t>
  </si>
  <si>
    <t xml:space="preserve">          – Testes de codificação (dicionário → bencode)</t>
  </si>
  <si>
    <t>Desenvolvedor(a) 1</t>
  </si>
  <si>
    <t>Casos normais de encode a partir de estruturas Python</t>
  </si>
  <si>
    <t>Implementa o produto; participa das estimativas (Planning Poker); registra horas previstas e realizadas de cada tarefa.</t>
  </si>
  <si>
    <t>1.2.3</t>
  </si>
  <si>
    <t xml:space="preserve">          – Testes de casos de borda</t>
  </si>
  <si>
    <t>Bencode aninhado, valores vazios, strings binárias</t>
  </si>
  <si>
    <t>Acumula com Product Owner.</t>
  </si>
  <si>
    <t>Desenvolvedor(a) 2</t>
  </si>
  <si>
    <t>1.3</t>
  </si>
  <si>
    <t xml:space="preserve">     Serialização binária do Peer Wire Protocol (struct)</t>
  </si>
  <si>
    <t>Empacotamento/desempacotamento das mensagens P2P (length prefix + ID + payload) — ver Anexo A.4</t>
  </si>
  <si>
    <t>Acumula com Scrum Master.</t>
  </si>
  <si>
    <t>1.3.1</t>
  </si>
  <si>
    <t>Desenvolvedor(a) 3</t>
  </si>
  <si>
    <t>Vinicios</t>
  </si>
  <si>
    <t xml:space="preserve">          – Empacotamento/desempacotamento do Handshake</t>
  </si>
  <si>
    <t>pstrlen+pstr+reserved+info_hash+peer_id (68 bytes fixos)</t>
  </si>
  <si>
    <t>Desenvolvedor(a) 4</t>
  </si>
  <si>
    <t>1.3.2</t>
  </si>
  <si>
    <t>Luiz Eduardo</t>
  </si>
  <si>
    <t xml:space="preserve">          – Empacotamento/desempacotamento de HAVE e BITFIELD</t>
  </si>
  <si>
    <t>Mensagens de sinalização de posse de peças</t>
  </si>
  <si>
    <t>1.3.3</t>
  </si>
  <si>
    <t xml:space="preserve">          – Empacotamento/desempacotamento de REQUEST e PIECE</t>
  </si>
  <si>
    <t>Mensagens de transferência de blocos de 16 KiB</t>
  </si>
  <si>
    <t>2</t>
  </si>
  <si>
    <t>Comunicação Cliente–Tracker</t>
  </si>
  <si>
    <t>Announce request/response e controle de acesso à rede — ver Anexo A.1/A.2</t>
  </si>
  <si>
    <t>INTEGRANTES DO GRUPO</t>
  </si>
  <si>
    <t>2.1</t>
  </si>
  <si>
    <t xml:space="preserve">     Cadastro/autorização de clientes na rede</t>
  </si>
  <si>
    <t>Controle de acesso básico — só clientes autorizados recebem resposta do Tracker (domínio fechado)</t>
  </si>
  <si>
    <t>2.1.1</t>
  </si>
  <si>
    <t xml:space="preserve">          – Definir mecanismo de autorização (lista de peer_id permitidos)</t>
  </si>
  <si>
    <t>Nome</t>
  </si>
  <si>
    <t>Papel Principal</t>
  </si>
  <si>
    <t>Papel(éis) Adicional(is)</t>
  </si>
  <si>
    <t>2.1.2</t>
  </si>
  <si>
    <t xml:space="preserve">          – Implementar verificação de autorização no Tracker</t>
  </si>
  <si>
    <t>2.1.3</t>
  </si>
  <si>
    <t xml:space="preserve">          – Testes de rejeição de cliente não autorizado</t>
  </si>
  <si>
    <t>2.2</t>
  </si>
  <si>
    <t>Desenvolvedor(a)</t>
  </si>
  <si>
    <t xml:space="preserve">     Implementar Announce Request (cliente → Tracker)</t>
  </si>
  <si>
    <t>Montagem da requisição HTTP GET com info_hash, peer_id, port, uploaded/downloaded/left, compact, event</t>
  </si>
  <si>
    <t>2.2.1</t>
  </si>
  <si>
    <t xml:space="preserve">          – Montagem da query string (info_hash, peer_id, port, compact)</t>
  </si>
  <si>
    <t>2.2.2</t>
  </si>
  <si>
    <t xml:space="preserve">          – Cálculo de uploaded/downloaded/left</t>
  </si>
  <si>
    <t>2.2.3</t>
  </si>
  <si>
    <t xml:space="preserve">          – Testes do announce request</t>
  </si>
  <si>
    <t>2.3</t>
  </si>
  <si>
    <t xml:space="preserve">     Implementar Announce Response (Tracker → cliente)</t>
  </si>
  <si>
    <t>Servidor Tracker: mantém tabela info_hash → lista de peers e responde em Bencode (interval, peers, complete, incomplete)</t>
  </si>
  <si>
    <t>2.3.1</t>
  </si>
  <si>
    <t xml:space="preserve">          – Tabela info_hash → lista de peers no Tracker</t>
  </si>
  <si>
    <t>2.3.2</t>
  </si>
  <si>
    <t xml:space="preserve">          – Formato compacto de peers (compact=1)</t>
  </si>
  <si>
    <t>2.3.3</t>
  </si>
  <si>
    <t xml:space="preserve">          – Contadores complete/incomplete</t>
  </si>
  <si>
    <t>2.4</t>
  </si>
  <si>
    <t xml:space="preserve">     Tratamento da resposta pelo cliente</t>
  </si>
  <si>
    <t>Cliente interpreta a resposta do Tracker e extrai a lista de peers a contatar</t>
  </si>
  <si>
    <t>2.4.1</t>
  </si>
  <si>
    <t xml:space="preserve">          – Parsing da resposta Bencode</t>
  </si>
  <si>
    <t>2.4.2</t>
  </si>
  <si>
    <t xml:space="preserve">          – Extração e tratamento da lista de peers</t>
  </si>
  <si>
    <t>2.4.3</t>
  </si>
  <si>
    <t xml:space="preserve">          – Tratamento de failure reason</t>
  </si>
  <si>
    <t>3</t>
  </si>
  <si>
    <t>Comunicação entre Clientes (Peer Wire Protocol)</t>
  </si>
  <si>
    <t>Handshake e troca de fragmentos entre peers — ver Anexo A.3/A.4</t>
  </si>
  <si>
    <t>3.1</t>
  </si>
  <si>
    <t xml:space="preserve">     Handshake entre peers</t>
  </si>
  <si>
    <t>Troca dos 68 bytes fixos e validação do info_hash</t>
  </si>
  <si>
    <t>3.1.1</t>
  </si>
  <si>
    <t xml:space="preserve">          – Envio do handshake</t>
  </si>
  <si>
    <t>3.1.2</t>
  </si>
  <si>
    <t xml:space="preserve">          – Validação do info_hash recebido</t>
  </si>
  <si>
    <t>3.2</t>
  </si>
  <si>
    <t xml:space="preserve">     Anúncio de posses (BITFIELD)</t>
  </si>
  <si>
    <t>Seeder envia vetor de bits indicando as peças que possui (ID 5)</t>
  </si>
  <si>
    <t>3.2.1</t>
  </si>
  <si>
    <t xml:space="preserve">          – Geração do bitfield local</t>
  </si>
  <si>
    <t>3.2.2</t>
  </si>
  <si>
    <t xml:space="preserve">          – Leitura do bitfield remoto</t>
  </si>
  <si>
    <t>3.3</t>
  </si>
  <si>
    <t xml:space="preserve">     Controle de fluxo (INTERESTED/UNCHOKE)</t>
  </si>
  <si>
    <t>Leecher sinaliza interesse (ID 2) e Seeder libera banda (ID 1)</t>
  </si>
  <si>
    <t>3.3.1</t>
  </si>
  <si>
    <t xml:space="preserve">          – Envio de INTERESTED</t>
  </si>
  <si>
    <t>3.3.2</t>
  </si>
  <si>
    <t xml:space="preserve">          – Lógica de UNCHOKE (liberação de banda)</t>
  </si>
  <si>
    <t>3.4</t>
  </si>
  <si>
    <t xml:space="preserve">     Loop de requisição e entrega de blocos (REQUEST/PIECE)</t>
  </si>
  <si>
    <t>Requisição de blocos de 16 KiB (ID 6) e entrega dos dados binários (ID 7)</t>
  </si>
  <si>
    <t>3.4.1</t>
  </si>
  <si>
    <t xml:space="preserve">          – Envio de REQUEST por bloco (16 KiB)</t>
  </si>
  <si>
    <t>3.4.2</t>
  </si>
  <si>
    <t xml:space="preserve">          – Recebimento e buffer de PIECE</t>
  </si>
  <si>
    <t>3.4.3</t>
  </si>
  <si>
    <t xml:space="preserve">          – Controle do loop até completar a peça</t>
  </si>
  <si>
    <t>3.5</t>
  </si>
  <si>
    <t xml:space="preserve">     Notificação de peça concluída (HAVE)</t>
  </si>
  <si>
    <t>Nó anuncia aos peers que validou 100% dos blocos de uma peça (ID 4)</t>
  </si>
  <si>
    <t>3.5.1</t>
  </si>
  <si>
    <t xml:space="preserve">          – Validação de peça completa (hash)</t>
  </si>
  <si>
    <t>3.5.2</t>
  </si>
  <si>
    <t xml:space="preserve">          – Broadcast de HAVE aos peers</t>
  </si>
  <si>
    <t>4</t>
  </si>
  <si>
    <t>Download e Persistência</t>
  </si>
  <si>
    <t>Sessão de download e gravação em disco dos fragmentos recebidos</t>
  </si>
  <si>
    <t>4.1</t>
  </si>
  <si>
    <t xml:space="preserve">     Sessão TCP consistente</t>
  </si>
  <si>
    <t>Conexão estável para receber fragmentos sem perda</t>
  </si>
  <si>
    <t>4.1.1</t>
  </si>
  <si>
    <t xml:space="preserve">          – Abertura e manutenção da conexão TCP</t>
  </si>
  <si>
    <t>4.1.2</t>
  </si>
  <si>
    <t xml:space="preserve">          – Tratamento de timeout/reconexão</t>
  </si>
  <si>
    <t>4.2</t>
  </si>
  <si>
    <t xml:space="preserve">     Escrita incremental em disco</t>
  </si>
  <si>
    <t>Gravar peças conforme completam 100% dos blocos no buffer, evitando estourar a RAM</t>
  </si>
  <si>
    <t>4.2.1</t>
  </si>
  <si>
    <t xml:space="preserve">          – Buffer de peça em memória</t>
  </si>
  <si>
    <t>4.2.2</t>
  </si>
  <si>
    <t xml:space="preserve">          – Escrita da peça validada no arquivo final</t>
  </si>
  <si>
    <t>4.3</t>
  </si>
  <si>
    <t xml:space="preserve">     Verificação de integridade dos fragmentos</t>
  </si>
  <si>
    <t>Checagem de hash (SHA-1) por peça recebida antes de gravar/confirmar</t>
  </si>
  <si>
    <t>4.3.1</t>
  </si>
  <si>
    <t xml:space="preserve">          – Cálculo de hash SHA-1 por peça</t>
  </si>
  <si>
    <t>4.3.2</t>
  </si>
  <si>
    <t xml:space="preserve">          – Comparação com hash esperado e tratamento de falha</t>
  </si>
  <si>
    <t>5</t>
  </si>
  <si>
    <t>Diferenciais (Stretch Goals)</t>
  </si>
  <si>
    <t>Funcionalidades opcionais, priorizadas conforme tempo disponível — ver Documento de Visão, Seção 9</t>
  </si>
  <si>
    <t>Risco de escopo — ver aba Riscos</t>
  </si>
  <si>
    <t>5.1</t>
  </si>
  <si>
    <t xml:space="preserve">     Upload de arquivos (fragmentação e catalogação)</t>
  </si>
  <si>
    <t>Cliente fragmenta o arquivo e o Tracker cataloga os fragmentos recebidos</t>
  </si>
  <si>
    <t>5.2</t>
  </si>
  <si>
    <t xml:space="preserve">     Distribuição resiliente de fragmentos</t>
  </si>
  <si>
    <t>Garantir que fragmentos sobrevivam à saída abrupta de 1–2 nós</t>
  </si>
  <si>
    <t>5.3</t>
  </si>
  <si>
    <t xml:space="preserve">     Eleição de um novo Tracker em caso de falha</t>
  </si>
  <si>
    <t>Mecanismo de escolha de um novo coordenador entre os clientes da rede</t>
  </si>
  <si>
    <t>5.4</t>
  </si>
  <si>
    <t xml:space="preserve">     Modo de lockdown automático da rede</t>
  </si>
  <si>
    <t>Suspender o compartilhamento de fragmentos se o Tracker for suspeito de comprometimento</t>
  </si>
  <si>
    <t>5.5</t>
  </si>
  <si>
    <t xml:space="preserve">     Gestão de permissões mais granular</t>
  </si>
  <si>
    <t>Perfis de acesso por cliente, além do controle de acesso básico do pacote 2.1</t>
  </si>
  <si>
    <t>6</t>
  </si>
  <si>
    <t>Testes, Documentação e Entrega</t>
  </si>
  <si>
    <t>Integração final, documentação e preparação das apresentações</t>
  </si>
  <si>
    <t>6.1</t>
  </si>
  <si>
    <t xml:space="preserve">     Testes de integração</t>
  </si>
  <si>
    <t>Testes fim-a-fim entre Tracker e múltiplos clientes</t>
  </si>
  <si>
    <t>6.2</t>
  </si>
  <si>
    <t xml:space="preserve">     Documentação (README, licença MIT)</t>
  </si>
  <si>
    <t>Repositório público, documentado, com licença de código aberto</t>
  </si>
  <si>
    <t>6.3</t>
  </si>
  <si>
    <t xml:space="preserve">     Preparação das apresentações</t>
  </si>
  <si>
    <t>Slides e demonstração para as Rodadas 1, 2 e 3</t>
  </si>
  <si>
    <t>PLANNING POKER — ESTIMATIVA DE ESFORÇO</t>
  </si>
  <si>
    <t>Estimativa de consenso sobre cada pacote de trabalho da EAP (inclui modelagem, testes e integração — não só código)</t>
  </si>
  <si>
    <t>ID (EAP)</t>
  </si>
  <si>
    <t>Pacote de Trabalho</t>
  </si>
  <si>
    <t>Média</t>
  </si>
  <si>
    <t>Estimativa Final (consenso)</t>
  </si>
  <si>
    <t>Unidade</t>
  </si>
  <si>
    <t>Homem-dia</t>
  </si>
  <si>
    <t>ANÁLISE DE RISCOS</t>
  </si>
  <si>
    <t>Exposição = Probabilidade × Impacto (mesma escala de 5 níveis usada em aula). Priorize por exposição decrescente.</t>
  </si>
  <si>
    <t>Categoria</t>
  </si>
  <si>
    <t>Descrição do Risco</t>
  </si>
  <si>
    <t>Tipo</t>
  </si>
  <si>
    <t>Probabilidade</t>
  </si>
  <si>
    <t>Impacto</t>
  </si>
  <si>
    <t>Exposição</t>
  </si>
  <si>
    <t>Prioridade</t>
  </si>
  <si>
    <t>Estratégia de Resposta</t>
  </si>
  <si>
    <t>Plano de Contenção</t>
  </si>
  <si>
    <t>Plano de Contingência</t>
  </si>
  <si>
    <t>Técnico</t>
  </si>
  <si>
    <t>Tracker é ponto único de falha (SPOF): se cair, ninguém consegue localizar peers</t>
  </si>
  <si>
    <t>Ameaça</t>
  </si>
  <si>
    <t>Mitigar</t>
  </si>
  <si>
    <t>Manter o tracker simples e leve; logs de monitoramento básicos</t>
  </si>
  <si>
    <t>Reiniciar o tracker rapidamente; documentar procedimento de recuperação</t>
  </si>
  <si>
    <t>Corrupção/perda de integridade dos fragmentos ao remontar o arquivo</t>
  </si>
  <si>
    <t>Checagem de hash (SHA1) por fragmento antes de gravar em disco</t>
  </si>
  <si>
    <t>Rebaixar fragmento e solicitar reenvio ao peer de origem</t>
  </si>
  <si>
    <t>Cronograma</t>
  </si>
  <si>
    <t>Funcionalidade de upload/resiliência não ficar pronta a tempo (escopo já marcado como opcional)</t>
  </si>
  <si>
    <t>DASHBOARD DO PROJETO</t>
  </si>
  <si>
    <t>Aceitar</t>
  </si>
  <si>
    <t>Priorizar o fluxo de download primeiro; upload como stretch goal</t>
  </si>
  <si>
    <t>Apresentar como 'trabalho futuro' na Rodada 3 se não concluído</t>
  </si>
  <si>
    <t>ORÇAMENTO E CRONOGRAMA (GANTT)</t>
  </si>
  <si>
    <t>Subestimar a complexidade de manter uma sessão TCP consistente durante o download</t>
  </si>
  <si>
    <t>Indicadores consolidados — atualiza automaticamente conforme as demais abas são preenchidas</t>
  </si>
  <si>
    <t>Orçamento Total (BAC)</t>
  </si>
  <si>
    <t>Prototipar cedo (spike técnico) a comunicação TCP entre 2 nós</t>
  </si>
  <si>
    <t>Buscar biblioteca/exemplo de referência (ex.: repositório similar no GitHub)</t>
  </si>
  <si>
    <t>Equipe</t>
  </si>
  <si>
    <t>Indisponibilidade de um integrante-chave em período crítico do desenvolvimento</t>
  </si>
  <si>
    <t>A Rodada 1 é só planejamento — a execução dos sprints começa depois dela, não antes</t>
  </si>
  <si>
    <t>Distribuir conhecimento (pair programming, documentação dos módulos)</t>
  </si>
  <si>
    <t>Redistribuir tarefas entre os demais integrantes</t>
  </si>
  <si>
    <t>Prova de conceito (parser) — concluída em:</t>
  </si>
  <si>
    <t>Externo</t>
  </si>
  <si>
    <t>Perda de dados do repositório por falha do provedor (GitHub)</t>
  </si>
  <si>
    <t>SPI Atual (Rodada 1)</t>
  </si>
  <si>
    <t>Cada integrante mantém clone local atualizado</t>
  </si>
  <si>
    <t>Restaurar a partir do clone local mais recente</t>
  </si>
  <si>
    <t>Demonstrado como v1 na Rodada 1 (08/09/2026)</t>
  </si>
  <si>
    <t>Bugs de serialização binária (struct) corrompem mensagens do Peer Wire Protocol (handshake, bitfield, request/piece)</t>
  </si>
  <si>
    <t>Sprint 1 (Fases 1-4, núcleo) — início:</t>
  </si>
  <si>
    <t>Meta: Rodada 2 — 06/10/2026</t>
  </si>
  <si>
    <t>% Concluído (EAP)</t>
  </si>
  <si>
    <t>Sprint 2 (Fase 5-6) — início:</t>
  </si>
  <si>
    <t>Testes unitários de empacotamento/desempacotamento para cada tipo de mensagem, com casos de borda</t>
  </si>
  <si>
    <t>Validar length prefix e IDs antes de decodificar o payload; descartar mensagem malformada</t>
  </si>
  <si>
    <t>Meta: Rodada 3 — 10/11/2026</t>
  </si>
  <si>
    <t>Custo por hora do desenvolvedor (R$):</t>
  </si>
  <si>
    <t>Subestimar o esforço do Peer Wire Protocol completo (handshake + bitfield + choking + request/piece + have) — 5 pacotes de trabalho novos identificados no Anexo A</t>
  </si>
  <si>
    <t>Jornada (horas/dia útil):</t>
  </si>
  <si>
    <t>Fazer o Planning Poker pacote a pacote (3.1 a 3.5) em vez de estimar 'comunicação entre peers' como um bloco único</t>
  </si>
  <si>
    <t>Custo por homem-dia (R$):</t>
  </si>
  <si>
    <t>Cortar HAVE (3.5) e usar bitfield-only para o v1, se o prazo apertar</t>
  </si>
  <si>
    <t>CPI Atual (Rodada 1)</t>
  </si>
  <si>
    <t>Duração Total (dias)</t>
  </si>
  <si>
    <t>A Rodada 1 entrega o PLANEJAMENTO (este documento) — só o parser (1.1) precisa estar pronto antes dela. A execução dos sprints roda depois de cada rodada, até a meta da rodada seguinte, para não parecer atraso o que na verdade ainda não começou.</t>
  </si>
  <si>
    <t>Riscos Altos/Muito Altos (≥0,6)</t>
  </si>
  <si>
    <t>Atividade</t>
  </si>
  <si>
    <t>Duração (dias)</t>
  </si>
  <si>
    <t>Data Início</t>
  </si>
  <si>
    <t>Data Fim</t>
  </si>
  <si>
    <t>Predecessora</t>
  </si>
  <si>
    <t>Custo Total (R$)</t>
  </si>
  <si>
    <t>% Concluído</t>
  </si>
  <si>
    <t>Dias até início</t>
  </si>
  <si>
    <t>Sprint / Meta</t>
  </si>
  <si>
    <t>Pré-Rodada 1 (concluído)</t>
  </si>
  <si>
    <t>Sprint 1 (Rodada 1 -&gt; Rodada 2)</t>
  </si>
  <si>
    <t>2.2.3;2.3.3</t>
  </si>
  <si>
    <t>BURNDOWN DA ITERAÇÃO</t>
  </si>
  <si>
    <t>Trabalho restante planejado vs. real dentro de uma iteração/sprint</t>
  </si>
  <si>
    <t>Trabalho do Sprint 1 (homem-dia, Fases 1-4 exceto o parser):</t>
  </si>
  <si>
    <t>Duração do Sprint 1 (dias):</t>
  </si>
  <si>
    <t>Dia</t>
  </si>
  <si>
    <t>Data</t>
  </si>
  <si>
    <t>Trabalho Restante Planejado</t>
  </si>
  <si>
    <t>Trabalho Restante Real</t>
  </si>
  <si>
    <t>MONITORAMENTO E CONTROLE — ANÁLISE DE VALOR AGREGADO (EVM)</t>
  </si>
  <si>
    <t>PV = BAC×P%C · EV = BAC×A%C · SPI = EV/PV · CPI = EV/AC (fórmulas da Aula 6)</t>
  </si>
  <si>
    <t>BAC (Orçamento total):</t>
  </si>
  <si>
    <t>Marco</t>
  </si>
  <si>
    <t>P%C (Planejado)</t>
  </si>
  <si>
    <t>A%C (Real)</t>
  </si>
  <si>
    <t>PV</t>
  </si>
  <si>
    <t>EV</t>
  </si>
  <si>
    <t>AC (Custo Real)</t>
  </si>
  <si>
    <t>CV</t>
  </si>
  <si>
    <t>CVP</t>
  </si>
  <si>
    <t>CPI</t>
  </si>
  <si>
    <t>SV</t>
  </si>
  <si>
    <t>SVP</t>
  </si>
  <si>
    <t>SPI</t>
  </si>
  <si>
    <t>Rodada 1</t>
  </si>
  <si>
    <t>Sprint 2 (Rodada 2 -&gt; Rodada 3)</t>
  </si>
  <si>
    <t>Rodada 2</t>
  </si>
  <si>
    <t>4.3.2;5.5</t>
  </si>
  <si>
    <t>6.1;6.2</t>
  </si>
  <si>
    <t>Rodada 3</t>
  </si>
  <si>
    <t>TOTAL</t>
  </si>
  <si>
    <t>Estrategia</t>
  </si>
  <si>
    <t>Categoria_Risco</t>
  </si>
  <si>
    <t>Tipo_Risco</t>
  </si>
  <si>
    <t>Unidade_Estimativa</t>
  </si>
  <si>
    <t>Evitar</t>
  </si>
  <si>
    <t>Em andamento</t>
  </si>
  <si>
    <t>Oportunidade</t>
  </si>
  <si>
    <t>Pontos</t>
  </si>
  <si>
    <t>Transferir</t>
  </si>
  <si>
    <t>Bloqueado</t>
  </si>
  <si>
    <t>Explorar</t>
  </si>
  <si>
    <t>Escopo</t>
  </si>
  <si>
    <t>Potencializar</t>
  </si>
  <si>
    <t>Compartilhar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</si>
</sst>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R$ &quot;#,##0.00"/>
  </numFmts>
  <fonts count="14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595959"/>
      <name val="Arial"/>
    </font>
    <font>
      <b/>
      <sz val="10.0"/>
      <color rgb="FF000000"/>
      <name val="Arial"/>
    </font>
    <font>
      <sz val="10.0"/>
      <color rgb="FF0000FF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1F3864"/>
      <name val="Arial"/>
    </font>
    <font>
      <sz val="10.0"/>
      <color rgb="FF008000"/>
      <name val="Arial"/>
    </font>
    <font>
      <i/>
      <sz val="9.0"/>
      <color rgb="FF7F7F7F"/>
      <name val="Arial"/>
    </font>
    <font>
      <sz val="9.0"/>
      <color rgb="FF404040"/>
      <name val="Arial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FCEFC7"/>
        <bgColor rgb="FFFCEFC7"/>
      </patternFill>
    </fill>
  </fills>
  <borders count="7">
    <border/>
    <border>
      <left/>
      <top/>
      <bottom/>
    </border>
    <border>
      <righ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bottom style="thin">
        <color rgb="FFBFBFBF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center"/>
    </xf>
    <xf borderId="0" fillId="0" fontId="4" numFmtId="0" xfId="0" applyFont="1"/>
    <xf borderId="0" fillId="0" fontId="3" numFmtId="0" xfId="0" applyAlignment="1" applyFont="1">
      <alignment horizontal="center" vertical="center"/>
    </xf>
    <xf borderId="0" fillId="0" fontId="5" numFmtId="0" xfId="0" applyFont="1"/>
    <xf borderId="4" fillId="3" fontId="6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4" fillId="4" fontId="8" numFmtId="0" xfId="0" applyAlignment="1" applyBorder="1" applyFill="1" applyFont="1">
      <alignment horizontal="center" vertical="center"/>
    </xf>
    <xf borderId="4" fillId="4" fontId="8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4" fillId="5" fontId="4" numFmtId="0" xfId="0" applyAlignment="1" applyBorder="1" applyFill="1" applyFont="1">
      <alignment horizontal="center" vertical="center"/>
    </xf>
    <xf borderId="5" fillId="4" fontId="7" numFmtId="0" xfId="0" applyBorder="1" applyFill="1" applyFont="1"/>
    <xf borderId="4" fillId="5" fontId="7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0" fillId="0" fontId="3" numFmtId="0" xfId="0" applyFont="1"/>
    <xf borderId="0" fillId="0" fontId="12" numFmtId="0" xfId="0" applyAlignment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6" fillId="0" fontId="2" numFmtId="0" xfId="0" applyBorder="1" applyFont="1"/>
    <xf borderId="4" fillId="5" fontId="9" numFmtId="0" xfId="0" applyBorder="1" applyFill="1" applyFont="1"/>
    <xf borderId="4" fillId="5" fontId="5" numFmtId="164" xfId="0" applyBorder="1" applyFill="1" applyFont="1" applyNumberFormat="1"/>
    <xf borderId="4" fillId="5" fontId="7" numFmtId="164" xfId="0" applyBorder="1" applyFill="1" applyFont="1" applyNumberFormat="1"/>
    <xf borderId="4" fillId="5" fontId="7" numFmtId="0" xfId="0" applyBorder="1" applyFill="1" applyFont="1"/>
    <xf borderId="4" fillId="5" fontId="10" numFmtId="0" xfId="0" applyBorder="1" applyFill="1" applyFont="1"/>
    <xf borderId="4" fillId="0" fontId="9" numFmtId="0" xfId="0" applyBorder="1" applyFont="1"/>
    <xf borderId="4" fillId="0" fontId="5" numFmtId="164" xfId="0" applyBorder="1" applyFont="1" applyNumberFormat="1"/>
    <xf borderId="4" fillId="0" fontId="7" numFmtId="164" xfId="0" applyBorder="1" applyFont="1" applyNumberFormat="1"/>
    <xf borderId="4" fillId="0" fontId="7" numFmtId="0" xfId="0" applyBorder="1" applyFont="1"/>
    <xf borderId="4" fillId="0" fontId="10" numFmtId="0" xfId="0" applyBorder="1" applyFont="1"/>
    <xf borderId="4" fillId="5" fontId="7" numFmtId="0" xfId="0" applyAlignment="1" applyBorder="1" applyFill="1" applyFont="1">
      <alignment horizontal="left" shrinkToFit="0" vertical="center" wrapText="1"/>
    </xf>
    <xf borderId="4" fillId="5" fontId="7" numFmtId="9" xfId="0" applyBorder="1" applyFill="1" applyFont="1" applyNumberFormat="1"/>
    <xf borderId="4" fillId="5" fontId="7" numFmtId="2" xfId="0" applyBorder="1" applyFill="1" applyFont="1" applyNumberFormat="1"/>
    <xf borderId="4" fillId="0" fontId="7" numFmtId="0" xfId="0" applyAlignment="1" applyBorder="1" applyFont="1">
      <alignment horizontal="left" shrinkToFit="0" vertical="center" wrapText="1"/>
    </xf>
    <xf borderId="4" fillId="0" fontId="7" numFmtId="9" xfId="0" applyBorder="1" applyFont="1" applyNumberFormat="1"/>
    <xf borderId="4" fillId="0" fontId="7" numFmtId="2" xfId="0" applyBorder="1" applyFont="1" applyNumberFormat="1"/>
    <xf borderId="4" fillId="4" fontId="4" numFmtId="0" xfId="0" applyBorder="1" applyFill="1" applyFont="1"/>
    <xf borderId="4" fillId="4" fontId="9" numFmtId="165" xfId="0" applyAlignment="1" applyBorder="1" applyFill="1" applyFont="1" applyNumberFormat="1">
      <alignment horizontal="center" shrinkToFit="0" vertical="center" wrapText="1"/>
    </xf>
    <xf borderId="0" fillId="0" fontId="5" numFmtId="14" xfId="0" applyFont="1" applyNumberFormat="1"/>
    <xf borderId="0" fillId="0" fontId="10" numFmtId="0" xfId="0" applyFont="1"/>
    <xf borderId="4" fillId="4" fontId="9" numFmtId="2" xfId="0" applyAlignment="1" applyBorder="1" applyFill="1" applyFont="1" applyNumberFormat="1">
      <alignment horizontal="center" shrinkToFit="0" vertical="center" wrapText="1"/>
    </xf>
    <xf borderId="0" fillId="0" fontId="5" numFmtId="165" xfId="0" applyFont="1" applyNumberFormat="1"/>
    <xf borderId="0" fillId="0" fontId="5" numFmtId="1" xfId="0" applyFont="1" applyNumberFormat="1"/>
    <xf borderId="4" fillId="4" fontId="9" numFmtId="9" xfId="0" applyAlignment="1" applyBorder="1" applyFill="1" applyFont="1" applyNumberFormat="1">
      <alignment horizontal="center" shrinkToFit="0" vertical="center" wrapText="1"/>
    </xf>
    <xf borderId="0" fillId="0" fontId="7" numFmtId="165" xfId="0" applyFont="1" applyNumberFormat="1"/>
    <xf borderId="4" fillId="4" fontId="9" numFmtId="164" xfId="0" applyAlignment="1" applyBorder="1" applyFill="1" applyFont="1" applyNumberFormat="1">
      <alignment horizontal="center" shrinkToFit="0" vertical="center" wrapText="1"/>
    </xf>
    <xf borderId="4" fillId="4" fontId="9" numFmtId="1" xfId="0" applyAlignment="1" applyBorder="1" applyFill="1" applyFont="1" applyNumberFormat="1">
      <alignment horizontal="center" shrinkToFit="0" vertical="center" wrapText="1"/>
    </xf>
    <xf borderId="4" fillId="6" fontId="9" numFmtId="0" xfId="0" applyBorder="1" applyFill="1" applyFont="1"/>
    <xf borderId="4" fillId="6" fontId="7" numFmtId="0" xfId="0" applyBorder="1" applyFill="1" applyFont="1"/>
    <xf borderId="4" fillId="6" fontId="9" numFmtId="164" xfId="0" applyBorder="1" applyFill="1" applyFont="1" applyNumberFormat="1"/>
    <xf borderId="4" fillId="6" fontId="7" numFmtId="14" xfId="0" applyBorder="1" applyFill="1" applyFont="1" applyNumberFormat="1"/>
    <xf borderId="4" fillId="6" fontId="7" numFmtId="165" xfId="0" applyBorder="1" applyFill="1" applyFont="1" applyNumberFormat="1"/>
    <xf borderId="4" fillId="6" fontId="5" numFmtId="9" xfId="0" applyBorder="1" applyFill="1" applyFont="1" applyNumberFormat="1"/>
    <xf borderId="4" fillId="6" fontId="11" numFmtId="0" xfId="0" applyAlignment="1" applyBorder="1" applyFill="1" applyFont="1">
      <alignment horizontal="center" shrinkToFit="0" vertical="center" wrapText="1"/>
    </xf>
    <xf borderId="4" fillId="4" fontId="9" numFmtId="0" xfId="0" applyBorder="1" applyFill="1" applyFont="1"/>
    <xf borderId="4" fillId="4" fontId="7" numFmtId="0" xfId="0" applyBorder="1" applyFill="1" applyFont="1"/>
    <xf borderId="4" fillId="4" fontId="9" numFmtId="164" xfId="0" applyBorder="1" applyFill="1" applyFont="1" applyNumberFormat="1"/>
    <xf borderId="4" fillId="4" fontId="7" numFmtId="14" xfId="0" applyBorder="1" applyFill="1" applyFont="1" applyNumberFormat="1"/>
    <xf borderId="4" fillId="4" fontId="7" numFmtId="165" xfId="0" applyBorder="1" applyFill="1" applyFont="1" applyNumberFormat="1"/>
    <xf borderId="4" fillId="4" fontId="5" numFmtId="9" xfId="0" applyBorder="1" applyFill="1" applyFont="1" applyNumberFormat="1"/>
    <xf borderId="4" fillId="4" fontId="11" numFmtId="0" xfId="0" applyAlignment="1" applyBorder="1" applyFill="1" applyFont="1">
      <alignment horizontal="center" shrinkToFit="0" vertical="center" wrapText="1"/>
    </xf>
    <xf borderId="0" fillId="0" fontId="9" numFmtId="164" xfId="0" applyFont="1" applyNumberFormat="1"/>
    <xf borderId="4" fillId="5" fontId="9" numFmtId="14" xfId="0" applyBorder="1" applyFill="1" applyFont="1" applyNumberFormat="1"/>
    <xf borderId="4" fillId="5" fontId="9" numFmtId="164" xfId="0" applyBorder="1" applyFill="1" applyFont="1" applyNumberFormat="1"/>
    <xf borderId="4" fillId="0" fontId="9" numFmtId="14" xfId="0" applyBorder="1" applyFont="1" applyNumberFormat="1"/>
    <xf borderId="0" fillId="0" fontId="9" numFmtId="165" xfId="0" applyFont="1" applyNumberFormat="1"/>
    <xf borderId="4" fillId="7" fontId="9" numFmtId="0" xfId="0" applyBorder="1" applyFill="1" applyFont="1"/>
    <xf borderId="4" fillId="7" fontId="7" numFmtId="0" xfId="0" applyBorder="1" applyFill="1" applyFont="1"/>
    <xf borderId="4" fillId="5" fontId="4" numFmtId="0" xfId="0" applyBorder="1" applyFill="1" applyFont="1"/>
    <xf borderId="4" fillId="5" fontId="7" numFmtId="14" xfId="0" applyBorder="1" applyFill="1" applyFont="1" applyNumberFormat="1"/>
    <xf borderId="4" fillId="7" fontId="9" numFmtId="164" xfId="0" applyBorder="1" applyFill="1" applyFont="1" applyNumberFormat="1"/>
    <xf borderId="4" fillId="7" fontId="7" numFmtId="14" xfId="0" applyBorder="1" applyFill="1" applyFont="1" applyNumberFormat="1"/>
    <xf borderId="4" fillId="7" fontId="7" numFmtId="165" xfId="0" applyBorder="1" applyFill="1" applyFont="1" applyNumberFormat="1"/>
    <xf borderId="4" fillId="7" fontId="5" numFmtId="9" xfId="0" applyBorder="1" applyFill="1" applyFont="1" applyNumberFormat="1"/>
    <xf borderId="4" fillId="7" fontId="11" numFmtId="0" xfId="0" applyAlignment="1" applyBorder="1" applyFill="1" applyFont="1">
      <alignment horizontal="center" shrinkToFit="0" vertical="center" wrapText="1"/>
    </xf>
    <xf borderId="4" fillId="5" fontId="9" numFmtId="9" xfId="0" applyBorder="1" applyFill="1" applyFont="1" applyNumberFormat="1"/>
    <xf borderId="4" fillId="5" fontId="7" numFmtId="165" xfId="0" applyBorder="1" applyFill="1" applyFont="1" applyNumberFormat="1"/>
    <xf borderId="4" fillId="5" fontId="9" numFmtId="165" xfId="0" applyBorder="1" applyFill="1" applyFont="1" applyNumberFormat="1"/>
    <xf borderId="4" fillId="0" fontId="4" numFmtId="0" xfId="0" applyBorder="1" applyFont="1"/>
    <xf borderId="4" fillId="0" fontId="7" numFmtId="14" xfId="0" applyBorder="1" applyFont="1" applyNumberFormat="1"/>
    <xf borderId="4" fillId="0" fontId="9" numFmtId="9" xfId="0" applyBorder="1" applyFont="1" applyNumberFormat="1"/>
    <xf borderId="4" fillId="0" fontId="5" numFmtId="9" xfId="0" applyBorder="1" applyFont="1" applyNumberFormat="1"/>
    <xf borderId="4" fillId="0" fontId="7" numFmtId="165" xfId="0" applyBorder="1" applyFont="1" applyNumberFormat="1"/>
    <xf borderId="4" fillId="0" fontId="5" numFmtId="165" xfId="0" applyBorder="1" applyFont="1" applyNumberFormat="1"/>
    <xf borderId="4" fillId="4" fontId="12" numFmtId="0" xfId="0" applyBorder="1" applyFill="1" applyFont="1"/>
    <xf borderId="4" fillId="4" fontId="4" numFmtId="164" xfId="0" applyBorder="1" applyFill="1" applyFont="1" applyNumberFormat="1"/>
    <xf borderId="4" fillId="5" fontId="5" numFmtId="9" xfId="0" applyBorder="1" applyFill="1" applyFont="1" applyNumberFormat="1"/>
    <xf borderId="4" fillId="4" fontId="4" numFmtId="165" xfId="0" applyBorder="1" applyFill="1" applyFont="1" applyNumberFormat="1"/>
    <xf borderId="0" fillId="0" fontId="13" numFmtId="0" xfId="0" applyFont="1"/>
    <xf borderId="4" fillId="5" fontId="5" numFmtId="165" xfId="0" applyBorder="1" applyFill="1" applyFont="1" applyNumberFormat="1"/>
    <xf borderId="0" fillId="0" fontId="12" numFmtId="9" xfId="0" applyFont="1" applyNumberFormat="1"/>
    <xf borderId="0" fillId="0" fontId="12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(iteração atual)</a:t>
            </a:r>
          </a:p>
        </c:rich>
      </c:tx>
      <c:overlay val="0"/>
    </c:title>
    <c:plotArea>
      <c:layout/>
      <c:lineChart>
        <c:ser>
          <c:idx val="0"/>
          <c:order val="0"/>
          <c:tx>
            <c:v>Trabalho Restante Planejado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Burndown!$A$8:$A$35</c:f>
            </c:strRef>
          </c:cat>
          <c:val>
            <c:numRef>
              <c:f>Burndown!$C$8:$C$35</c:f>
              <c:numCache/>
            </c:numRef>
          </c:val>
          <c:smooth val="1"/>
        </c:ser>
        <c:ser>
          <c:idx val="1"/>
          <c:order val="1"/>
          <c:tx>
            <c:v>Trabalho Restante Real</c:v>
          </c:tx>
          <c:spPr>
            <a:ln cmpd="sng" w="19050">
              <a:solidFill>
                <a:srgbClr val="C0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Burndown!$A$8:$A$35</c:f>
            </c:strRef>
          </c:cat>
          <c:val>
            <c:numRef>
              <c:f>Burndown!$D$8:$D$35</c:f>
              <c:numCache/>
            </c:numRef>
          </c:val>
          <c:smooth val="1"/>
        </c:ser>
        <c:axId val="146935239"/>
        <c:axId val="890907143"/>
      </c:lineChart>
      <c:catAx>
        <c:axId val="146935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90907143"/>
      </c:catAx>
      <c:valAx>
        <c:axId val="890907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693523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Curva S — PV / EV / AC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EVM!$A$7:$A$9</c:f>
            </c:strRef>
          </c:cat>
          <c:val>
            <c:numRef>
              <c:f>EVM!$E$7:$E$9</c:f>
              <c:numCache/>
            </c:numRef>
          </c:val>
          <c:smooth val="1"/>
        </c:ser>
        <c:ser>
          <c:idx val="1"/>
          <c:order val="1"/>
          <c:tx>
            <c:v>EV</c:v>
          </c:tx>
          <c:spPr>
            <a:ln cmpd="sng" w="19050">
              <a:solidFill>
                <a:srgbClr val="54823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EVM!$A$7:$A$9</c:f>
            </c:strRef>
          </c:cat>
          <c:val>
            <c:numRef>
              <c:f>EVM!$F$7:$F$9</c:f>
              <c:numCache/>
            </c:numRef>
          </c:val>
          <c:smooth val="1"/>
        </c:ser>
        <c:ser>
          <c:idx val="2"/>
          <c:order val="2"/>
          <c:tx>
            <c:v>AC (Custo Real)</c:v>
          </c:tx>
          <c:spPr>
            <a:ln cmpd="sng" w="19050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EVM!$A$7:$A$9</c:f>
            </c:strRef>
          </c:cat>
          <c:val>
            <c:numRef>
              <c:f>EVM!$G$7:$G$9</c:f>
              <c:numCache/>
            </c:numRef>
          </c:val>
          <c:smooth val="1"/>
        </c:ser>
        <c:axId val="1999385742"/>
        <c:axId val="1608289473"/>
      </c:lineChart>
      <c:catAx>
        <c:axId val="1999385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08289473"/>
      </c:catAx>
      <c:valAx>
        <c:axId val="1608289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9938574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Exposição dos Riscos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Exposição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Riscos!$C$5:$C$12</c:f>
            </c:strRef>
          </c:cat>
          <c:val>
            <c:numRef>
              <c:f>Riscos!$G$5:$G$12</c:f>
              <c:numCache/>
            </c:numRef>
          </c:val>
        </c:ser>
        <c:axId val="750073066"/>
        <c:axId val="749313788"/>
      </c:barChart>
      <c:catAx>
        <c:axId val="7500730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49313788"/>
      </c:catAx>
      <c:valAx>
        <c:axId val="7493137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50073066"/>
        <c:crosses val="max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Cronograma do Projeto (Gantt) — por Sprint/Rodada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Dias até início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Cronograma_Orcamento!$B$13:$B$56</c:f>
            </c:strRef>
          </c:cat>
          <c:val>
            <c:numRef>
              <c:f>Cronograma_Orcamento!$K$13:$K$56</c:f>
              <c:numCache/>
            </c:numRef>
          </c:val>
        </c:ser>
        <c:ser>
          <c:idx val="1"/>
          <c:order val="1"/>
          <c:tx>
            <c:v>Duração (dias)</c:v>
          </c:tx>
          <c:spPr>
            <a:solidFill>
              <a:srgbClr val="2E75B6"/>
            </a:solidFill>
            <a:ln cmpd="sng">
              <a:noFill/>
            </a:ln>
          </c:spPr>
          <c:cat>
            <c:strRef>
              <c:f>Cronograma_Orcamento!$B$13:$B$56</c:f>
            </c:strRef>
          </c:cat>
          <c:val>
            <c:numRef>
              <c:f>Cronograma_Orcamento!$D$13:$D$56</c:f>
              <c:numCache/>
            </c:numRef>
          </c:val>
        </c:ser>
        <c:overlap val="100"/>
        <c:axId val="1824499346"/>
        <c:axId val="1543249175"/>
      </c:barChart>
      <c:catAx>
        <c:axId val="18244993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Dias desde a prova de conceito (parser)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43249175"/>
      </c:catAx>
      <c:valAx>
        <c:axId val="15432491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24499346"/>
        <c:crosses val="max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— Planejado vs. Real</a:t>
            </a:r>
          </a:p>
        </c:rich>
      </c:tx>
      <c:overlay val="0"/>
    </c:title>
    <c:plotArea>
      <c:layout/>
      <c:lineChart>
        <c:ser>
          <c:idx val="0"/>
          <c:order val="0"/>
          <c:tx>
            <c:v>Trabalho Restante Planejado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Burndown!$A$8:$A$35</c:f>
            </c:strRef>
          </c:cat>
          <c:val>
            <c:numRef>
              <c:f>Burndown!$C$8:$C$35</c:f>
              <c:numCache/>
            </c:numRef>
          </c:val>
          <c:smooth val="1"/>
        </c:ser>
        <c:ser>
          <c:idx val="1"/>
          <c:order val="1"/>
          <c:tx>
            <c:v>Trabalho Restante Real</c:v>
          </c:tx>
          <c:spPr>
            <a:ln cmpd="sng" w="19050">
              <a:solidFill>
                <a:srgbClr val="C0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Burndown!$A$8:$A$35</c:f>
            </c:strRef>
          </c:cat>
          <c:val>
            <c:numRef>
              <c:f>Burndown!$D$8:$D$35</c:f>
              <c:numCache/>
            </c:numRef>
          </c:val>
          <c:smooth val="1"/>
        </c:ser>
        <c:axId val="885620537"/>
        <c:axId val="1600945688"/>
      </c:lineChart>
      <c:catAx>
        <c:axId val="885620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 da iteração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00945688"/>
      </c:catAx>
      <c:valAx>
        <c:axId val="1600945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Trabalho restante (homem-dia)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8562053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Curva S — PV, EV e AC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EVM!$A$7:$A$9</c:f>
            </c:strRef>
          </c:cat>
          <c:val>
            <c:numRef>
              <c:f>EVM!$E$7:$E$9</c:f>
              <c:numCache/>
            </c:numRef>
          </c:val>
          <c:smooth val="1"/>
        </c:ser>
        <c:ser>
          <c:idx val="1"/>
          <c:order val="1"/>
          <c:tx>
            <c:v>EV</c:v>
          </c:tx>
          <c:spPr>
            <a:ln cmpd="sng" w="19050">
              <a:solidFill>
                <a:srgbClr val="54823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EVM!$A$7:$A$9</c:f>
            </c:strRef>
          </c:cat>
          <c:val>
            <c:numRef>
              <c:f>EVM!$F$7:$F$9</c:f>
              <c:numCache/>
            </c:numRef>
          </c:val>
          <c:smooth val="1"/>
        </c:ser>
        <c:ser>
          <c:idx val="2"/>
          <c:order val="2"/>
          <c:tx>
            <c:v>AC (Custo Real)</c:v>
          </c:tx>
          <c:spPr>
            <a:ln cmpd="sng" w="19050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EVM!$A$7:$A$9</c:f>
            </c:strRef>
          </c:cat>
          <c:val>
            <c:numRef>
              <c:f>EVM!$G$7:$G$9</c:f>
              <c:numCache/>
            </c:numRef>
          </c:val>
          <c:smooth val="1"/>
        </c:ser>
        <c:axId val="1671635911"/>
        <c:axId val="1027368951"/>
      </c:lineChart>
      <c:catAx>
        <c:axId val="1671635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Marco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27368951"/>
      </c:catAx>
      <c:valAx>
        <c:axId val="1027368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7163591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5791200" cy="3019425"/>
    <xdr:graphicFrame>
      <xdr:nvGraphicFramePr>
        <xdr:cNvPr id="19562394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8</xdr:row>
      <xdr:rowOff>0</xdr:rowOff>
    </xdr:from>
    <xdr:ext cx="5810250" cy="3019425"/>
    <xdr:graphicFrame>
      <xdr:nvGraphicFramePr>
        <xdr:cNvPr id="13135769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0</xdr:rowOff>
    </xdr:from>
    <xdr:ext cx="5791200" cy="3400425"/>
    <xdr:graphicFrame>
      <xdr:nvGraphicFramePr>
        <xdr:cNvPr id="147655346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58</xdr:row>
      <xdr:rowOff>38100</xdr:rowOff>
    </xdr:from>
    <xdr:ext cx="8267700" cy="5486400"/>
    <xdr:graphicFrame>
      <xdr:nvGraphicFramePr>
        <xdr:cNvPr id="65287143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6</xdr:row>
      <xdr:rowOff>0</xdr:rowOff>
    </xdr:from>
    <xdr:ext cx="6858000" cy="3371850"/>
    <xdr:graphicFrame>
      <xdr:nvGraphicFramePr>
        <xdr:cNvPr id="1427484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0</xdr:rowOff>
    </xdr:from>
    <xdr:ext cx="6800850" cy="3400425"/>
    <xdr:graphicFrame>
      <xdr:nvGraphicFramePr>
        <xdr:cNvPr id="870052184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4.0"/>
    <col customWidth="1" min="4" max="4" width="30.0"/>
    <col customWidth="1" min="5" max="5" width="20.0"/>
    <col customWidth="1" min="6" max="26" width="8.71"/>
  </cols>
  <sheetData>
    <row r="1" ht="25.5" customHeight="1">
      <c r="A1" s="1" t="s">
        <v>277</v>
      </c>
      <c r="B1" s="4"/>
      <c r="C1" s="4"/>
      <c r="D1" s="4"/>
      <c r="E1" s="3"/>
    </row>
    <row r="2">
      <c r="A2" s="5" t="s">
        <v>283</v>
      </c>
    </row>
    <row r="4">
      <c r="A4" s="45" t="s">
        <v>284</v>
      </c>
      <c r="B4" s="46">
        <f>EVM!C4</f>
        <v>52800</v>
      </c>
      <c r="D4" s="45" t="s">
        <v>295</v>
      </c>
      <c r="E4" s="49">
        <f>IFERROR(EVM!M7,"-")</f>
        <v>1</v>
      </c>
    </row>
    <row r="5">
      <c r="A5" s="45" t="s">
        <v>302</v>
      </c>
      <c r="B5" s="52">
        <f>IFERROR(AVERAGE(Cronograma_Orcamento!I13:I56),0)</f>
        <v>0.02272727273</v>
      </c>
      <c r="D5" s="45" t="s">
        <v>313</v>
      </c>
      <c r="E5" s="49">
        <f>IFERROR(EVM!J7,"-")</f>
        <v>1</v>
      </c>
    </row>
    <row r="6">
      <c r="A6" s="45" t="s">
        <v>314</v>
      </c>
      <c r="B6" s="54">
        <f>SUM(Cronograma_Orcamento!D13:D56)</f>
        <v>44</v>
      </c>
      <c r="D6" s="45" t="s">
        <v>316</v>
      </c>
      <c r="E6" s="55">
        <f>COUNTIF(Riscos!G5:G18,"&gt;=0.6")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81.29"/>
    <col customWidth="1" min="4" max="4" width="3.0"/>
    <col customWidth="1" min="5" max="26" width="8.71"/>
  </cols>
  <sheetData>
    <row r="2" ht="33.75" customHeight="1">
      <c r="B2" s="1" t="s">
        <v>0</v>
      </c>
      <c r="C2" s="3"/>
    </row>
    <row r="3">
      <c r="B3" s="5" t="s">
        <v>3</v>
      </c>
    </row>
    <row r="5">
      <c r="B5" s="6" t="s">
        <v>4</v>
      </c>
      <c r="C5" s="8" t="s">
        <v>5</v>
      </c>
    </row>
    <row r="6">
      <c r="B6" s="6" t="s">
        <v>6</v>
      </c>
      <c r="C6" s="10" t="s">
        <v>8</v>
      </c>
    </row>
    <row r="7">
      <c r="B7" s="6" t="s">
        <v>12</v>
      </c>
      <c r="C7" s="10" t="s">
        <v>14</v>
      </c>
    </row>
    <row r="8">
      <c r="B8" s="6" t="s">
        <v>17</v>
      </c>
      <c r="C8" s="10" t="s">
        <v>19</v>
      </c>
    </row>
    <row r="10">
      <c r="B10" s="6" t="s">
        <v>22</v>
      </c>
    </row>
    <row r="11">
      <c r="B11" s="8" t="s">
        <v>24</v>
      </c>
      <c r="C11" s="10" t="s">
        <v>26</v>
      </c>
    </row>
    <row r="12">
      <c r="B12" s="13" t="s">
        <v>28</v>
      </c>
      <c r="C12" s="10" t="s">
        <v>32</v>
      </c>
    </row>
    <row r="13">
      <c r="B13" s="10" t="s">
        <v>33</v>
      </c>
      <c r="C13" s="10" t="s">
        <v>34</v>
      </c>
    </row>
    <row r="14">
      <c r="B14" s="15" t="s">
        <v>35</v>
      </c>
      <c r="C14" s="10" t="s">
        <v>37</v>
      </c>
    </row>
    <row r="16">
      <c r="B16" s="6" t="s">
        <v>39</v>
      </c>
    </row>
    <row r="17">
      <c r="B17" s="6" t="s">
        <v>45</v>
      </c>
      <c r="C17" s="10" t="s">
        <v>48</v>
      </c>
    </row>
    <row r="18">
      <c r="B18" s="6" t="s">
        <v>49</v>
      </c>
      <c r="C18" s="10" t="s">
        <v>51</v>
      </c>
    </row>
    <row r="19">
      <c r="B19" s="6" t="s">
        <v>53</v>
      </c>
      <c r="C19" s="10" t="s">
        <v>54</v>
      </c>
    </row>
    <row r="20">
      <c r="B20" s="6" t="s">
        <v>56</v>
      </c>
      <c r="C20" s="10" t="s">
        <v>58</v>
      </c>
    </row>
    <row r="21" ht="15.75" customHeight="1">
      <c r="B21" s="6" t="s">
        <v>61</v>
      </c>
      <c r="C21" s="10" t="s">
        <v>64</v>
      </c>
    </row>
    <row r="22" ht="15.75" customHeight="1">
      <c r="B22" s="6" t="s">
        <v>66</v>
      </c>
      <c r="C22" s="10" t="s">
        <v>68</v>
      </c>
    </row>
    <row r="23" ht="15.75" customHeight="1">
      <c r="B23" s="6" t="s">
        <v>71</v>
      </c>
      <c r="C23" s="10" t="s">
        <v>72</v>
      </c>
    </row>
    <row r="24" ht="15.75" customHeight="1">
      <c r="B24" s="6" t="s">
        <v>75</v>
      </c>
      <c r="C24" s="10" t="s">
        <v>76</v>
      </c>
    </row>
    <row r="25" ht="15.75" customHeight="1"/>
    <row r="26" ht="15.75" customHeight="1">
      <c r="B26" s="25" t="s">
        <v>78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C2"/>
    <mergeCell ref="B3:C3"/>
    <mergeCell ref="B26:C2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8.0"/>
    <col customWidth="1" min="3" max="3" width="58.14"/>
    <col customWidth="1" min="4" max="4" width="52.71"/>
    <col customWidth="1" min="5" max="6" width="16.0"/>
    <col customWidth="1" min="7" max="7" width="30.0"/>
    <col customWidth="1" min="8" max="26" width="8.71"/>
  </cols>
  <sheetData>
    <row r="1" ht="30.0" customHeight="1">
      <c r="A1" s="2" t="s">
        <v>1</v>
      </c>
      <c r="B1" s="4"/>
      <c r="C1" s="4"/>
      <c r="D1" s="4"/>
      <c r="E1" s="4"/>
      <c r="F1" s="4"/>
      <c r="G1" s="3"/>
    </row>
    <row r="2" ht="13.5" customHeight="1">
      <c r="A2" s="7"/>
    </row>
    <row r="3" ht="30.0" customHeight="1">
      <c r="A3" s="9" t="s">
        <v>7</v>
      </c>
      <c r="B3" s="9" t="s">
        <v>9</v>
      </c>
      <c r="C3" s="9" t="s">
        <v>10</v>
      </c>
      <c r="D3" s="9" t="s">
        <v>11</v>
      </c>
      <c r="E3" s="9" t="s">
        <v>13</v>
      </c>
      <c r="F3" s="9" t="s">
        <v>15</v>
      </c>
      <c r="G3" s="9" t="s">
        <v>16</v>
      </c>
    </row>
    <row r="4" ht="30.0" customHeight="1">
      <c r="A4" s="11" t="s">
        <v>20</v>
      </c>
      <c r="B4" s="12">
        <v>1.0</v>
      </c>
      <c r="C4" s="11" t="s">
        <v>29</v>
      </c>
      <c r="D4" s="12" t="s">
        <v>31</v>
      </c>
      <c r="E4" s="11"/>
      <c r="F4" s="11" t="s">
        <v>38</v>
      </c>
      <c r="G4" s="11"/>
    </row>
    <row r="5" ht="30.0" customHeight="1">
      <c r="A5" s="18" t="s">
        <v>41</v>
      </c>
      <c r="B5" s="19">
        <v>2.0</v>
      </c>
      <c r="C5" s="18" t="s">
        <v>43</v>
      </c>
      <c r="D5" s="19" t="s">
        <v>44</v>
      </c>
      <c r="E5" s="18"/>
      <c r="F5" s="18" t="s">
        <v>47</v>
      </c>
      <c r="G5" s="22"/>
    </row>
    <row r="6" ht="30.0" customHeight="1">
      <c r="A6" s="18" t="s">
        <v>62</v>
      </c>
      <c r="B6" s="19">
        <v>2.0</v>
      </c>
      <c r="C6" s="18" t="s">
        <v>65</v>
      </c>
      <c r="D6" s="19" t="s">
        <v>67</v>
      </c>
      <c r="E6" s="18"/>
      <c r="F6" s="18" t="s">
        <v>38</v>
      </c>
      <c r="G6" s="22"/>
    </row>
    <row r="7" ht="30.0" customHeight="1">
      <c r="A7" s="18" t="s">
        <v>74</v>
      </c>
      <c r="B7" s="19">
        <v>3.0</v>
      </c>
      <c r="C7" s="23" t="s">
        <v>77</v>
      </c>
      <c r="D7" s="19" t="s">
        <v>79</v>
      </c>
      <c r="E7" s="18"/>
      <c r="F7" s="18" t="s">
        <v>38</v>
      </c>
      <c r="G7" s="22"/>
    </row>
    <row r="8" ht="30.0" customHeight="1">
      <c r="A8" s="18" t="s">
        <v>80</v>
      </c>
      <c r="B8" s="19">
        <v>3.0</v>
      </c>
      <c r="C8" s="23" t="s">
        <v>81</v>
      </c>
      <c r="D8" s="19" t="s">
        <v>83</v>
      </c>
      <c r="E8" s="18"/>
      <c r="F8" s="18" t="s">
        <v>38</v>
      </c>
      <c r="G8" s="22"/>
    </row>
    <row r="9" ht="30.0" customHeight="1">
      <c r="A9" s="18" t="s">
        <v>85</v>
      </c>
      <c r="B9" s="19">
        <v>3.0</v>
      </c>
      <c r="C9" s="23" t="s">
        <v>86</v>
      </c>
      <c r="D9" s="19" t="s">
        <v>87</v>
      </c>
      <c r="E9" s="18"/>
      <c r="F9" s="18" t="s">
        <v>38</v>
      </c>
      <c r="G9" s="22"/>
    </row>
    <row r="10" ht="30.0" customHeight="1">
      <c r="A10" s="18" t="s">
        <v>90</v>
      </c>
      <c r="B10" s="19">
        <v>2.0</v>
      </c>
      <c r="C10" s="18" t="s">
        <v>91</v>
      </c>
      <c r="D10" s="19" t="s">
        <v>92</v>
      </c>
      <c r="E10" s="18"/>
      <c r="F10" s="18" t="s">
        <v>38</v>
      </c>
      <c r="G10" s="22"/>
    </row>
    <row r="11" ht="30.0" customHeight="1">
      <c r="A11" s="18" t="s">
        <v>94</v>
      </c>
      <c r="B11" s="19">
        <v>3.0</v>
      </c>
      <c r="C11" s="23" t="s">
        <v>97</v>
      </c>
      <c r="D11" s="19" t="s">
        <v>98</v>
      </c>
      <c r="E11" s="18"/>
      <c r="F11" s="18" t="s">
        <v>38</v>
      </c>
      <c r="G11" s="22"/>
    </row>
    <row r="12" ht="30.0" customHeight="1">
      <c r="A12" s="18" t="s">
        <v>100</v>
      </c>
      <c r="B12" s="19">
        <v>3.0</v>
      </c>
      <c r="C12" s="23" t="s">
        <v>102</v>
      </c>
      <c r="D12" s="19" t="s">
        <v>103</v>
      </c>
      <c r="E12" s="18"/>
      <c r="F12" s="18" t="s">
        <v>38</v>
      </c>
      <c r="G12" s="22"/>
    </row>
    <row r="13" ht="30.0" customHeight="1">
      <c r="A13" s="18" t="s">
        <v>104</v>
      </c>
      <c r="B13" s="19">
        <v>3.0</v>
      </c>
      <c r="C13" s="23" t="s">
        <v>105</v>
      </c>
      <c r="D13" s="19" t="s">
        <v>106</v>
      </c>
      <c r="E13" s="18"/>
      <c r="F13" s="18" t="s">
        <v>38</v>
      </c>
      <c r="G13" s="22"/>
    </row>
    <row r="14" ht="30.0" customHeight="1">
      <c r="A14" s="11" t="s">
        <v>107</v>
      </c>
      <c r="B14" s="12">
        <v>1.0</v>
      </c>
      <c r="C14" s="11" t="s">
        <v>108</v>
      </c>
      <c r="D14" s="12" t="s">
        <v>109</v>
      </c>
      <c r="E14" s="11"/>
      <c r="F14" s="11" t="s">
        <v>38</v>
      </c>
      <c r="G14" s="11"/>
    </row>
    <row r="15" ht="30.0" customHeight="1">
      <c r="A15" s="18" t="s">
        <v>111</v>
      </c>
      <c r="B15" s="19">
        <v>2.0</v>
      </c>
      <c r="C15" s="18" t="s">
        <v>112</v>
      </c>
      <c r="D15" s="19" t="s">
        <v>113</v>
      </c>
      <c r="E15" s="18"/>
      <c r="F15" s="18" t="s">
        <v>38</v>
      </c>
      <c r="G15" s="22"/>
    </row>
    <row r="16" ht="30.0" customHeight="1">
      <c r="A16" s="18" t="s">
        <v>114</v>
      </c>
      <c r="B16" s="19">
        <v>3.0</v>
      </c>
      <c r="C16" s="23" t="s">
        <v>115</v>
      </c>
      <c r="D16" s="19"/>
      <c r="E16" s="18"/>
      <c r="F16" s="18" t="s">
        <v>38</v>
      </c>
      <c r="G16" s="22"/>
    </row>
    <row r="17" ht="30.0" customHeight="1">
      <c r="A17" s="18" t="s">
        <v>119</v>
      </c>
      <c r="B17" s="19">
        <v>3.0</v>
      </c>
      <c r="C17" s="23" t="s">
        <v>120</v>
      </c>
      <c r="D17" s="19"/>
      <c r="E17" s="18"/>
      <c r="F17" s="18" t="s">
        <v>38</v>
      </c>
      <c r="G17" s="22"/>
    </row>
    <row r="18" ht="30.0" customHeight="1">
      <c r="A18" s="18" t="s">
        <v>121</v>
      </c>
      <c r="B18" s="19">
        <v>3.0</v>
      </c>
      <c r="C18" s="23" t="s">
        <v>122</v>
      </c>
      <c r="D18" s="19"/>
      <c r="E18" s="18"/>
      <c r="F18" s="18" t="s">
        <v>38</v>
      </c>
      <c r="G18" s="22"/>
    </row>
    <row r="19" ht="30.0" customHeight="1">
      <c r="A19" s="18" t="s">
        <v>123</v>
      </c>
      <c r="B19" s="19">
        <v>2.0</v>
      </c>
      <c r="C19" s="18" t="s">
        <v>125</v>
      </c>
      <c r="D19" s="19" t="s">
        <v>126</v>
      </c>
      <c r="E19" s="18"/>
      <c r="F19" s="18" t="s">
        <v>38</v>
      </c>
      <c r="G19" s="22"/>
    </row>
    <row r="20" ht="30.0" customHeight="1">
      <c r="A20" s="18" t="s">
        <v>127</v>
      </c>
      <c r="B20" s="19">
        <v>3.0</v>
      </c>
      <c r="C20" s="23" t="s">
        <v>128</v>
      </c>
      <c r="D20" s="19"/>
      <c r="E20" s="18"/>
      <c r="F20" s="18" t="s">
        <v>38</v>
      </c>
      <c r="G20" s="22"/>
    </row>
    <row r="21" ht="30.0" customHeight="1">
      <c r="A21" s="18" t="s">
        <v>129</v>
      </c>
      <c r="B21" s="19">
        <v>3.0</v>
      </c>
      <c r="C21" s="23" t="s">
        <v>130</v>
      </c>
      <c r="D21" s="19"/>
      <c r="E21" s="18"/>
      <c r="F21" s="18" t="s">
        <v>38</v>
      </c>
      <c r="G21" s="22"/>
    </row>
    <row r="22" ht="30.0" customHeight="1">
      <c r="A22" s="18" t="s">
        <v>131</v>
      </c>
      <c r="B22" s="19">
        <v>3.0</v>
      </c>
      <c r="C22" s="23" t="s">
        <v>132</v>
      </c>
      <c r="D22" s="19"/>
      <c r="E22" s="18"/>
      <c r="F22" s="18" t="s">
        <v>38</v>
      </c>
      <c r="G22" s="22"/>
    </row>
    <row r="23" ht="30.0" customHeight="1">
      <c r="A23" s="18" t="s">
        <v>133</v>
      </c>
      <c r="B23" s="19">
        <v>2.0</v>
      </c>
      <c r="C23" s="18" t="s">
        <v>134</v>
      </c>
      <c r="D23" s="19" t="s">
        <v>135</v>
      </c>
      <c r="E23" s="18"/>
      <c r="F23" s="18" t="s">
        <v>38</v>
      </c>
      <c r="G23" s="22"/>
    </row>
    <row r="24" ht="30.0" customHeight="1">
      <c r="A24" s="18" t="s">
        <v>136</v>
      </c>
      <c r="B24" s="19">
        <v>3.0</v>
      </c>
      <c r="C24" s="23" t="s">
        <v>137</v>
      </c>
      <c r="D24" s="19"/>
      <c r="E24" s="18"/>
      <c r="F24" s="18" t="s">
        <v>38</v>
      </c>
      <c r="G24" s="22"/>
    </row>
    <row r="25" ht="30.0" customHeight="1">
      <c r="A25" s="18" t="s">
        <v>138</v>
      </c>
      <c r="B25" s="19">
        <v>3.0</v>
      </c>
      <c r="C25" s="23" t="s">
        <v>139</v>
      </c>
      <c r="D25" s="19"/>
      <c r="E25" s="18"/>
      <c r="F25" s="18" t="s">
        <v>38</v>
      </c>
      <c r="G25" s="22"/>
    </row>
    <row r="26" ht="30.0" customHeight="1">
      <c r="A26" s="18" t="s">
        <v>140</v>
      </c>
      <c r="B26" s="19">
        <v>3.0</v>
      </c>
      <c r="C26" s="23" t="s">
        <v>141</v>
      </c>
      <c r="D26" s="19"/>
      <c r="E26" s="18"/>
      <c r="F26" s="18" t="s">
        <v>38</v>
      </c>
      <c r="G26" s="22"/>
    </row>
    <row r="27" ht="30.0" customHeight="1">
      <c r="A27" s="18" t="s">
        <v>142</v>
      </c>
      <c r="B27" s="19">
        <v>2.0</v>
      </c>
      <c r="C27" s="18" t="s">
        <v>143</v>
      </c>
      <c r="D27" s="19" t="s">
        <v>144</v>
      </c>
      <c r="E27" s="18"/>
      <c r="F27" s="18" t="s">
        <v>38</v>
      </c>
      <c r="G27" s="22"/>
    </row>
    <row r="28" ht="30.0" customHeight="1">
      <c r="A28" s="18" t="s">
        <v>145</v>
      </c>
      <c r="B28" s="19">
        <v>3.0</v>
      </c>
      <c r="C28" s="23" t="s">
        <v>146</v>
      </c>
      <c r="D28" s="19"/>
      <c r="E28" s="18"/>
      <c r="F28" s="18" t="s">
        <v>38</v>
      </c>
      <c r="G28" s="22"/>
    </row>
    <row r="29" ht="30.0" customHeight="1">
      <c r="A29" s="18" t="s">
        <v>147</v>
      </c>
      <c r="B29" s="19">
        <v>3.0</v>
      </c>
      <c r="C29" s="23" t="s">
        <v>148</v>
      </c>
      <c r="D29" s="19"/>
      <c r="E29" s="18"/>
      <c r="F29" s="18" t="s">
        <v>38</v>
      </c>
      <c r="G29" s="22"/>
    </row>
    <row r="30" ht="30.0" customHeight="1">
      <c r="A30" s="18" t="s">
        <v>149</v>
      </c>
      <c r="B30" s="19">
        <v>3.0</v>
      </c>
      <c r="C30" s="23" t="s">
        <v>150</v>
      </c>
      <c r="D30" s="19"/>
      <c r="E30" s="18"/>
      <c r="F30" s="18" t="s">
        <v>38</v>
      </c>
      <c r="G30" s="22"/>
    </row>
    <row r="31" ht="30.0" customHeight="1">
      <c r="A31" s="11" t="s">
        <v>151</v>
      </c>
      <c r="B31" s="12">
        <v>1.0</v>
      </c>
      <c r="C31" s="11" t="s">
        <v>152</v>
      </c>
      <c r="D31" s="12" t="s">
        <v>153</v>
      </c>
      <c r="E31" s="11"/>
      <c r="F31" s="11" t="s">
        <v>38</v>
      </c>
      <c r="G31" s="11"/>
    </row>
    <row r="32" ht="30.0" customHeight="1">
      <c r="A32" s="18" t="s">
        <v>154</v>
      </c>
      <c r="B32" s="19">
        <v>2.0</v>
      </c>
      <c r="C32" s="18" t="s">
        <v>155</v>
      </c>
      <c r="D32" s="19" t="s">
        <v>156</v>
      </c>
      <c r="E32" s="18"/>
      <c r="F32" s="18" t="s">
        <v>38</v>
      </c>
      <c r="G32" s="22"/>
    </row>
    <row r="33" ht="30.0" customHeight="1">
      <c r="A33" s="18" t="s">
        <v>157</v>
      </c>
      <c r="B33" s="19">
        <v>3.0</v>
      </c>
      <c r="C33" s="23" t="s">
        <v>158</v>
      </c>
      <c r="D33" s="19"/>
      <c r="E33" s="18"/>
      <c r="F33" s="18" t="s">
        <v>38</v>
      </c>
      <c r="G33" s="22"/>
    </row>
    <row r="34" ht="30.0" customHeight="1">
      <c r="A34" s="18" t="s">
        <v>159</v>
      </c>
      <c r="B34" s="19">
        <v>3.0</v>
      </c>
      <c r="C34" s="23" t="s">
        <v>160</v>
      </c>
      <c r="D34" s="19"/>
      <c r="E34" s="18"/>
      <c r="F34" s="18" t="s">
        <v>38</v>
      </c>
      <c r="G34" s="22"/>
    </row>
    <row r="35" ht="30.0" customHeight="1">
      <c r="A35" s="18" t="s">
        <v>161</v>
      </c>
      <c r="B35" s="19">
        <v>2.0</v>
      </c>
      <c r="C35" s="18" t="s">
        <v>162</v>
      </c>
      <c r="D35" s="19" t="s">
        <v>163</v>
      </c>
      <c r="E35" s="18"/>
      <c r="F35" s="18" t="s">
        <v>38</v>
      </c>
      <c r="G35" s="22"/>
    </row>
    <row r="36" ht="30.0" customHeight="1">
      <c r="A36" s="18" t="s">
        <v>164</v>
      </c>
      <c r="B36" s="19">
        <v>3.0</v>
      </c>
      <c r="C36" s="23" t="s">
        <v>165</v>
      </c>
      <c r="D36" s="19"/>
      <c r="E36" s="18"/>
      <c r="F36" s="18" t="s">
        <v>38</v>
      </c>
      <c r="G36" s="22"/>
    </row>
    <row r="37" ht="30.0" customHeight="1">
      <c r="A37" s="18" t="s">
        <v>166</v>
      </c>
      <c r="B37" s="19">
        <v>3.0</v>
      </c>
      <c r="C37" s="23" t="s">
        <v>167</v>
      </c>
      <c r="D37" s="19"/>
      <c r="E37" s="18"/>
      <c r="F37" s="18" t="s">
        <v>38</v>
      </c>
      <c r="G37" s="22"/>
    </row>
    <row r="38" ht="30.0" customHeight="1">
      <c r="A38" s="18" t="s">
        <v>168</v>
      </c>
      <c r="B38" s="19">
        <v>2.0</v>
      </c>
      <c r="C38" s="18" t="s">
        <v>169</v>
      </c>
      <c r="D38" s="19" t="s">
        <v>170</v>
      </c>
      <c r="E38" s="18"/>
      <c r="F38" s="18" t="s">
        <v>38</v>
      </c>
      <c r="G38" s="22"/>
    </row>
    <row r="39" ht="30.0" customHeight="1">
      <c r="A39" s="18" t="s">
        <v>171</v>
      </c>
      <c r="B39" s="19">
        <v>3.0</v>
      </c>
      <c r="C39" s="23" t="s">
        <v>172</v>
      </c>
      <c r="D39" s="19"/>
      <c r="E39" s="18"/>
      <c r="F39" s="18" t="s">
        <v>38</v>
      </c>
      <c r="G39" s="22"/>
    </row>
    <row r="40" ht="30.0" customHeight="1">
      <c r="A40" s="18" t="s">
        <v>173</v>
      </c>
      <c r="B40" s="19">
        <v>3.0</v>
      </c>
      <c r="C40" s="23" t="s">
        <v>174</v>
      </c>
      <c r="D40" s="19"/>
      <c r="E40" s="18"/>
      <c r="F40" s="18" t="s">
        <v>38</v>
      </c>
      <c r="G40" s="22"/>
    </row>
    <row r="41" ht="30.0" customHeight="1">
      <c r="A41" s="18" t="s">
        <v>175</v>
      </c>
      <c r="B41" s="19">
        <v>2.0</v>
      </c>
      <c r="C41" s="18" t="s">
        <v>176</v>
      </c>
      <c r="D41" s="19" t="s">
        <v>177</v>
      </c>
      <c r="E41" s="18"/>
      <c r="F41" s="18" t="s">
        <v>38</v>
      </c>
      <c r="G41" s="22"/>
    </row>
    <row r="42" ht="30.0" customHeight="1">
      <c r="A42" s="18" t="s">
        <v>178</v>
      </c>
      <c r="B42" s="19">
        <v>3.0</v>
      </c>
      <c r="C42" s="23" t="s">
        <v>179</v>
      </c>
      <c r="D42" s="19"/>
      <c r="E42" s="18"/>
      <c r="F42" s="18" t="s">
        <v>38</v>
      </c>
      <c r="G42" s="22"/>
    </row>
    <row r="43" ht="30.0" customHeight="1">
      <c r="A43" s="18" t="s">
        <v>180</v>
      </c>
      <c r="B43" s="19">
        <v>3.0</v>
      </c>
      <c r="C43" s="23" t="s">
        <v>181</v>
      </c>
      <c r="D43" s="19"/>
      <c r="E43" s="18"/>
      <c r="F43" s="18" t="s">
        <v>38</v>
      </c>
      <c r="G43" s="22"/>
    </row>
    <row r="44" ht="30.0" customHeight="1">
      <c r="A44" s="18" t="s">
        <v>182</v>
      </c>
      <c r="B44" s="19">
        <v>3.0</v>
      </c>
      <c r="C44" s="23" t="s">
        <v>183</v>
      </c>
      <c r="D44" s="19"/>
      <c r="E44" s="18"/>
      <c r="F44" s="18" t="s">
        <v>38</v>
      </c>
      <c r="G44" s="22"/>
    </row>
    <row r="45" ht="30.0" customHeight="1">
      <c r="A45" s="18" t="s">
        <v>184</v>
      </c>
      <c r="B45" s="19">
        <v>2.0</v>
      </c>
      <c r="C45" s="18" t="s">
        <v>185</v>
      </c>
      <c r="D45" s="19" t="s">
        <v>186</v>
      </c>
      <c r="E45" s="18"/>
      <c r="F45" s="18" t="s">
        <v>38</v>
      </c>
      <c r="G45" s="22"/>
    </row>
    <row r="46" ht="30.0" customHeight="1">
      <c r="A46" s="18" t="s">
        <v>187</v>
      </c>
      <c r="B46" s="19">
        <v>3.0</v>
      </c>
      <c r="C46" s="23" t="s">
        <v>188</v>
      </c>
      <c r="D46" s="19"/>
      <c r="E46" s="18"/>
      <c r="F46" s="18" t="s">
        <v>38</v>
      </c>
      <c r="G46" s="22"/>
    </row>
    <row r="47" ht="30.0" customHeight="1">
      <c r="A47" s="18" t="s">
        <v>189</v>
      </c>
      <c r="B47" s="19">
        <v>3.0</v>
      </c>
      <c r="C47" s="23" t="s">
        <v>190</v>
      </c>
      <c r="D47" s="19"/>
      <c r="E47" s="18"/>
      <c r="F47" s="18" t="s">
        <v>38</v>
      </c>
      <c r="G47" s="22"/>
    </row>
    <row r="48" ht="30.0" customHeight="1">
      <c r="A48" s="11" t="s">
        <v>191</v>
      </c>
      <c r="B48" s="12">
        <v>1.0</v>
      </c>
      <c r="C48" s="11" t="s">
        <v>192</v>
      </c>
      <c r="D48" s="12" t="s">
        <v>193</v>
      </c>
      <c r="E48" s="11"/>
      <c r="F48" s="11" t="s">
        <v>38</v>
      </c>
      <c r="G48" s="11"/>
    </row>
    <row r="49" ht="30.0" customHeight="1">
      <c r="A49" s="18" t="s">
        <v>194</v>
      </c>
      <c r="B49" s="19">
        <v>2.0</v>
      </c>
      <c r="C49" s="18" t="s">
        <v>195</v>
      </c>
      <c r="D49" s="19" t="s">
        <v>196</v>
      </c>
      <c r="E49" s="18"/>
      <c r="F49" s="18" t="s">
        <v>38</v>
      </c>
      <c r="G49" s="22"/>
    </row>
    <row r="50" ht="30.0" customHeight="1">
      <c r="A50" s="18" t="s">
        <v>197</v>
      </c>
      <c r="B50" s="19">
        <v>3.0</v>
      </c>
      <c r="C50" s="23" t="s">
        <v>198</v>
      </c>
      <c r="D50" s="19"/>
      <c r="E50" s="18"/>
      <c r="F50" s="18" t="s">
        <v>38</v>
      </c>
      <c r="G50" s="22"/>
    </row>
    <row r="51" ht="30.0" customHeight="1">
      <c r="A51" s="18" t="s">
        <v>199</v>
      </c>
      <c r="B51" s="19">
        <v>3.0</v>
      </c>
      <c r="C51" s="23" t="s">
        <v>200</v>
      </c>
      <c r="D51" s="19"/>
      <c r="E51" s="18"/>
      <c r="F51" s="18" t="s">
        <v>38</v>
      </c>
      <c r="G51" s="22"/>
    </row>
    <row r="52" ht="30.0" customHeight="1">
      <c r="A52" s="18" t="s">
        <v>201</v>
      </c>
      <c r="B52" s="19">
        <v>2.0</v>
      </c>
      <c r="C52" s="18" t="s">
        <v>202</v>
      </c>
      <c r="D52" s="19" t="s">
        <v>203</v>
      </c>
      <c r="E52" s="18"/>
      <c r="F52" s="18" t="s">
        <v>38</v>
      </c>
      <c r="G52" s="22"/>
    </row>
    <row r="53" ht="30.0" customHeight="1">
      <c r="A53" s="18" t="s">
        <v>204</v>
      </c>
      <c r="B53" s="19">
        <v>3.0</v>
      </c>
      <c r="C53" s="23" t="s">
        <v>205</v>
      </c>
      <c r="D53" s="19"/>
      <c r="E53" s="18"/>
      <c r="F53" s="18" t="s">
        <v>38</v>
      </c>
      <c r="G53" s="22"/>
    </row>
    <row r="54" ht="30.0" customHeight="1">
      <c r="A54" s="18" t="s">
        <v>206</v>
      </c>
      <c r="B54" s="19">
        <v>3.0</v>
      </c>
      <c r="C54" s="23" t="s">
        <v>207</v>
      </c>
      <c r="D54" s="19"/>
      <c r="E54" s="18"/>
      <c r="F54" s="18" t="s">
        <v>38</v>
      </c>
      <c r="G54" s="22"/>
    </row>
    <row r="55" ht="30.0" customHeight="1">
      <c r="A55" s="18" t="s">
        <v>208</v>
      </c>
      <c r="B55" s="19">
        <v>2.0</v>
      </c>
      <c r="C55" s="18" t="s">
        <v>209</v>
      </c>
      <c r="D55" s="19" t="s">
        <v>210</v>
      </c>
      <c r="E55" s="18"/>
      <c r="F55" s="18" t="s">
        <v>38</v>
      </c>
      <c r="G55" s="22"/>
    </row>
    <row r="56" ht="30.0" customHeight="1">
      <c r="A56" s="18" t="s">
        <v>211</v>
      </c>
      <c r="B56" s="19">
        <v>3.0</v>
      </c>
      <c r="C56" s="23" t="s">
        <v>212</v>
      </c>
      <c r="D56" s="19"/>
      <c r="E56" s="18"/>
      <c r="F56" s="18" t="s">
        <v>38</v>
      </c>
      <c r="G56" s="22"/>
    </row>
    <row r="57" ht="30.0" customHeight="1">
      <c r="A57" s="18" t="s">
        <v>213</v>
      </c>
      <c r="B57" s="19">
        <v>3.0</v>
      </c>
      <c r="C57" s="23" t="s">
        <v>214</v>
      </c>
      <c r="D57" s="19"/>
      <c r="E57" s="18"/>
      <c r="F57" s="18" t="s">
        <v>38</v>
      </c>
      <c r="G57" s="22"/>
    </row>
    <row r="58" ht="30.0" customHeight="1">
      <c r="A58" s="11" t="s">
        <v>215</v>
      </c>
      <c r="B58" s="12">
        <v>1.0</v>
      </c>
      <c r="C58" s="11" t="s">
        <v>216</v>
      </c>
      <c r="D58" s="12" t="s">
        <v>217</v>
      </c>
      <c r="E58" s="11"/>
      <c r="F58" s="11" t="s">
        <v>38</v>
      </c>
      <c r="G58" s="11" t="s">
        <v>218</v>
      </c>
    </row>
    <row r="59" ht="30.0" customHeight="1">
      <c r="A59" s="18" t="s">
        <v>219</v>
      </c>
      <c r="B59" s="19">
        <v>2.0</v>
      </c>
      <c r="C59" s="18" t="s">
        <v>220</v>
      </c>
      <c r="D59" s="19" t="s">
        <v>221</v>
      </c>
      <c r="E59" s="18"/>
      <c r="F59" s="18" t="s">
        <v>38</v>
      </c>
      <c r="G59" s="22"/>
    </row>
    <row r="60" ht="30.0" customHeight="1">
      <c r="A60" s="18" t="s">
        <v>222</v>
      </c>
      <c r="B60" s="19">
        <v>2.0</v>
      </c>
      <c r="C60" s="18" t="s">
        <v>223</v>
      </c>
      <c r="D60" s="19" t="s">
        <v>224</v>
      </c>
      <c r="E60" s="18"/>
      <c r="F60" s="18" t="s">
        <v>38</v>
      </c>
      <c r="G60" s="22"/>
    </row>
    <row r="61" ht="30.0" customHeight="1">
      <c r="A61" s="18" t="s">
        <v>225</v>
      </c>
      <c r="B61" s="19">
        <v>2.0</v>
      </c>
      <c r="C61" s="18" t="s">
        <v>226</v>
      </c>
      <c r="D61" s="19" t="s">
        <v>227</v>
      </c>
      <c r="E61" s="18"/>
      <c r="F61" s="18" t="s">
        <v>38</v>
      </c>
      <c r="G61" s="22"/>
    </row>
    <row r="62" ht="30.0" customHeight="1">
      <c r="A62" s="18" t="s">
        <v>228</v>
      </c>
      <c r="B62" s="19">
        <v>2.0</v>
      </c>
      <c r="C62" s="18" t="s">
        <v>229</v>
      </c>
      <c r="D62" s="19" t="s">
        <v>230</v>
      </c>
      <c r="E62" s="18"/>
      <c r="F62" s="18" t="s">
        <v>38</v>
      </c>
      <c r="G62" s="22"/>
    </row>
    <row r="63" ht="30.0" customHeight="1">
      <c r="A63" s="18" t="s">
        <v>231</v>
      </c>
      <c r="B63" s="19">
        <v>2.0</v>
      </c>
      <c r="C63" s="18" t="s">
        <v>232</v>
      </c>
      <c r="D63" s="19" t="s">
        <v>233</v>
      </c>
      <c r="E63" s="18"/>
      <c r="F63" s="18" t="s">
        <v>38</v>
      </c>
      <c r="G63" s="22"/>
    </row>
    <row r="64" ht="30.0" customHeight="1">
      <c r="A64" s="11" t="s">
        <v>234</v>
      </c>
      <c r="B64" s="12">
        <v>1.0</v>
      </c>
      <c r="C64" s="11" t="s">
        <v>235</v>
      </c>
      <c r="D64" s="12" t="s">
        <v>236</v>
      </c>
      <c r="E64" s="11"/>
      <c r="F64" s="11" t="s">
        <v>38</v>
      </c>
      <c r="G64" s="11"/>
    </row>
    <row r="65" ht="30.0" customHeight="1">
      <c r="A65" s="18" t="s">
        <v>237</v>
      </c>
      <c r="B65" s="19">
        <v>2.0</v>
      </c>
      <c r="C65" s="18" t="s">
        <v>238</v>
      </c>
      <c r="D65" s="19" t="s">
        <v>239</v>
      </c>
      <c r="E65" s="18"/>
      <c r="F65" s="18" t="s">
        <v>38</v>
      </c>
      <c r="G65" s="22"/>
    </row>
    <row r="66" ht="30.0" customHeight="1">
      <c r="A66" s="18" t="s">
        <v>240</v>
      </c>
      <c r="B66" s="19">
        <v>2.0</v>
      </c>
      <c r="C66" s="18" t="s">
        <v>241</v>
      </c>
      <c r="D66" s="19" t="s">
        <v>242</v>
      </c>
      <c r="E66" s="18"/>
      <c r="F66" s="18" t="s">
        <v>38</v>
      </c>
      <c r="G66" s="22"/>
    </row>
    <row r="67" ht="30.0" customHeight="1">
      <c r="A67" s="18" t="s">
        <v>243</v>
      </c>
      <c r="B67" s="19">
        <v>2.0</v>
      </c>
      <c r="C67" s="18" t="s">
        <v>244</v>
      </c>
      <c r="D67" s="19" t="s">
        <v>245</v>
      </c>
      <c r="E67" s="18"/>
      <c r="F67" s="18" t="s">
        <v>38</v>
      </c>
      <c r="G67" s="22"/>
    </row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2">
    <mergeCell ref="A1:G1"/>
    <mergeCell ref="A2:G2"/>
  </mergeCells>
  <dataValidations>
    <dataValidation type="list" allowBlank="1" sqref="F4:F67">
      <formula1>Listas!$A$2:$A$5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24.29"/>
    <col customWidth="1" min="3" max="3" width="46.0"/>
    <col customWidth="1" min="4" max="4" width="16.0"/>
    <col customWidth="1" min="5" max="5" width="57.71"/>
    <col customWidth="1" min="6" max="26" width="8.71"/>
  </cols>
  <sheetData>
    <row r="1" ht="25.5" customHeight="1">
      <c r="A1" s="2" t="s">
        <v>2</v>
      </c>
      <c r="B1" s="4"/>
      <c r="C1" s="4"/>
      <c r="D1" s="4"/>
      <c r="E1" s="3"/>
    </row>
    <row r="2">
      <c r="A2" s="7"/>
    </row>
    <row r="3" ht="31.5" customHeight="1">
      <c r="A3" s="9" t="s">
        <v>18</v>
      </c>
      <c r="B3" s="9" t="s">
        <v>21</v>
      </c>
      <c r="C3" s="9" t="s">
        <v>23</v>
      </c>
      <c r="D3" s="9" t="s">
        <v>25</v>
      </c>
      <c r="E3" s="9" t="s">
        <v>27</v>
      </c>
    </row>
    <row r="4">
      <c r="A4" s="14" t="s">
        <v>30</v>
      </c>
      <c r="B4" s="16" t="s">
        <v>36</v>
      </c>
      <c r="C4" s="17" t="s">
        <v>40</v>
      </c>
      <c r="D4" s="16" t="s">
        <v>42</v>
      </c>
      <c r="E4" s="20"/>
    </row>
    <row r="5">
      <c r="A5" s="21" t="s">
        <v>46</v>
      </c>
      <c r="B5" s="18" t="s">
        <v>50</v>
      </c>
      <c r="C5" s="19" t="s">
        <v>52</v>
      </c>
      <c r="D5" s="18" t="s">
        <v>55</v>
      </c>
      <c r="E5" s="18" t="s">
        <v>57</v>
      </c>
    </row>
    <row r="6">
      <c r="A6" s="14" t="s">
        <v>59</v>
      </c>
      <c r="B6" s="16" t="s">
        <v>60</v>
      </c>
      <c r="C6" s="17" t="s">
        <v>63</v>
      </c>
      <c r="D6" s="16" t="s">
        <v>55</v>
      </c>
      <c r="E6" s="16" t="s">
        <v>57</v>
      </c>
    </row>
    <row r="7">
      <c r="A7" s="21" t="s">
        <v>69</v>
      </c>
      <c r="B7" s="18" t="s">
        <v>70</v>
      </c>
      <c r="C7" s="19" t="s">
        <v>73</v>
      </c>
      <c r="D7" s="18" t="s">
        <v>42</v>
      </c>
      <c r="E7" s="24"/>
    </row>
    <row r="8">
      <c r="A8" s="14" t="s">
        <v>82</v>
      </c>
      <c r="B8" s="16" t="s">
        <v>50</v>
      </c>
      <c r="C8" s="17" t="s">
        <v>84</v>
      </c>
      <c r="D8" s="16" t="s">
        <v>55</v>
      </c>
      <c r="E8" s="16" t="s">
        <v>88</v>
      </c>
    </row>
    <row r="9">
      <c r="A9" s="21" t="s">
        <v>89</v>
      </c>
      <c r="B9" s="18" t="s">
        <v>60</v>
      </c>
      <c r="C9" s="19" t="s">
        <v>84</v>
      </c>
      <c r="D9" s="18" t="s">
        <v>55</v>
      </c>
      <c r="E9" s="18" t="s">
        <v>93</v>
      </c>
    </row>
    <row r="10">
      <c r="A10" s="14" t="s">
        <v>95</v>
      </c>
      <c r="B10" s="16" t="s">
        <v>96</v>
      </c>
      <c r="C10" s="17" t="s">
        <v>84</v>
      </c>
      <c r="D10" s="16" t="s">
        <v>42</v>
      </c>
      <c r="E10" s="20"/>
    </row>
    <row r="11">
      <c r="A11" s="21" t="s">
        <v>99</v>
      </c>
      <c r="B11" s="18" t="s">
        <v>101</v>
      </c>
      <c r="C11" s="19" t="s">
        <v>84</v>
      </c>
      <c r="D11" s="18" t="s">
        <v>42</v>
      </c>
      <c r="E11" s="24"/>
    </row>
    <row r="12">
      <c r="A12" s="26"/>
      <c r="B12" s="26"/>
      <c r="C12" s="26"/>
      <c r="D12" s="26"/>
      <c r="E12" s="26"/>
    </row>
    <row r="13">
      <c r="A13" s="26"/>
      <c r="B13" s="26"/>
      <c r="C13" s="26"/>
      <c r="D13" s="26"/>
      <c r="E13" s="26"/>
    </row>
    <row r="14">
      <c r="A14" s="27" t="s">
        <v>110</v>
      </c>
      <c r="B14" s="28"/>
      <c r="C14" s="28"/>
      <c r="D14" s="26"/>
      <c r="E14" s="26"/>
    </row>
    <row r="15" ht="31.5" customHeight="1">
      <c r="A15" s="9" t="s">
        <v>116</v>
      </c>
      <c r="B15" s="9" t="s">
        <v>117</v>
      </c>
      <c r="C15" s="9" t="s">
        <v>118</v>
      </c>
      <c r="D15" s="18"/>
      <c r="E15" s="26"/>
    </row>
    <row r="16">
      <c r="A16" s="16" t="s">
        <v>36</v>
      </c>
      <c r="B16" s="16" t="s">
        <v>30</v>
      </c>
      <c r="C16" s="16"/>
      <c r="D16" s="26"/>
      <c r="E16" s="26"/>
    </row>
    <row r="17">
      <c r="A17" s="18" t="s">
        <v>60</v>
      </c>
      <c r="B17" s="18" t="s">
        <v>59</v>
      </c>
      <c r="C17" s="18" t="s">
        <v>124</v>
      </c>
      <c r="D17" s="26"/>
      <c r="E17" s="26"/>
    </row>
    <row r="18">
      <c r="A18" s="16" t="s">
        <v>50</v>
      </c>
      <c r="B18" s="16" t="s">
        <v>46</v>
      </c>
      <c r="C18" s="16" t="s">
        <v>124</v>
      </c>
      <c r="D18" s="26"/>
      <c r="E18" s="26"/>
    </row>
    <row r="19">
      <c r="A19" s="18" t="s">
        <v>70</v>
      </c>
      <c r="B19" s="18" t="s">
        <v>69</v>
      </c>
      <c r="C19" s="18"/>
      <c r="D19" s="26"/>
      <c r="E19" s="26"/>
    </row>
    <row r="20">
      <c r="A20" s="16" t="s">
        <v>96</v>
      </c>
      <c r="B20" s="16" t="s">
        <v>124</v>
      </c>
      <c r="C20" s="16"/>
      <c r="D20" s="26"/>
      <c r="E20" s="26"/>
    </row>
    <row r="21" ht="15.75" customHeight="1">
      <c r="A21" s="18" t="s">
        <v>101</v>
      </c>
      <c r="B21" s="18" t="s">
        <v>124</v>
      </c>
      <c r="C21" s="18"/>
      <c r="D21" s="26"/>
      <c r="E21" s="2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14:C14"/>
  </mergeCells>
  <dataValidations>
    <dataValidation type="list" allowBlank="1" sqref="D4:D11">
      <formula1>"Sim,Não"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8.0"/>
    <col customWidth="1" min="2" max="2" width="50.0"/>
    <col customWidth="1" min="3" max="4" width="13.0"/>
    <col customWidth="1" min="5" max="5" width="10.0"/>
    <col customWidth="1" min="6" max="6" width="9.0"/>
    <col customWidth="1" min="7" max="7" width="11.0"/>
    <col customWidth="1" min="8" max="8" width="13.0"/>
    <col customWidth="1" min="9" max="9" width="9.0"/>
    <col customWidth="1" min="10" max="10" width="14.0"/>
    <col customWidth="1" min="11" max="11" width="13.86"/>
    <col customWidth="1" min="12" max="12" width="26.0"/>
    <col customWidth="1" min="13" max="26" width="8.71"/>
  </cols>
  <sheetData>
    <row r="1" ht="25.5" customHeight="1">
      <c r="A1" s="2" t="s">
        <v>246</v>
      </c>
      <c r="B1" s="4"/>
      <c r="C1" s="4"/>
      <c r="D1" s="4"/>
      <c r="E1" s="4"/>
      <c r="F1" s="4"/>
      <c r="G1" s="4"/>
      <c r="H1" s="4"/>
      <c r="I1" s="4"/>
      <c r="J1" s="4"/>
      <c r="K1" s="4"/>
      <c r="L1" s="3"/>
    </row>
    <row r="2">
      <c r="A2" s="7" t="s">
        <v>247</v>
      </c>
    </row>
    <row r="3" ht="31.5" customHeight="1">
      <c r="A3" s="9" t="s">
        <v>248</v>
      </c>
      <c r="B3" s="9" t="s">
        <v>249</v>
      </c>
      <c r="C3" s="9" t="s">
        <v>36</v>
      </c>
      <c r="D3" s="9" t="s">
        <v>60</v>
      </c>
      <c r="E3" s="9" t="s">
        <v>50</v>
      </c>
      <c r="F3" s="9" t="s">
        <v>70</v>
      </c>
      <c r="G3" s="9" t="s">
        <v>96</v>
      </c>
      <c r="H3" s="9" t="s">
        <v>101</v>
      </c>
      <c r="I3" s="9" t="s">
        <v>250</v>
      </c>
      <c r="J3" s="9" t="s">
        <v>251</v>
      </c>
      <c r="K3" s="9" t="s">
        <v>252</v>
      </c>
      <c r="L3" s="9" t="s">
        <v>16</v>
      </c>
    </row>
    <row r="4">
      <c r="A4" s="29" t="str">
        <f>Escopo_EAP!A5</f>
        <v>1.1</v>
      </c>
      <c r="B4" s="29" t="str">
        <f>TRIM(Escopo_EAP!C5)</f>
        <v>Parser B-encode (encode/decode)</v>
      </c>
      <c r="C4" s="30">
        <v>1.0</v>
      </c>
      <c r="D4" s="30">
        <v>0.5</v>
      </c>
      <c r="E4" s="30">
        <v>1.0</v>
      </c>
      <c r="F4" s="30">
        <v>0.5</v>
      </c>
      <c r="G4" s="30">
        <v>1.0</v>
      </c>
      <c r="H4" s="30">
        <v>1.0</v>
      </c>
      <c r="I4" s="31">
        <f t="shared" ref="I4:I47" si="1">IFERROR(AVERAGE(C4:H4),"")</f>
        <v>0.8333333333</v>
      </c>
      <c r="J4" s="30">
        <v>1.0</v>
      </c>
      <c r="K4" s="32" t="s">
        <v>253</v>
      </c>
      <c r="L4" s="33"/>
    </row>
    <row r="5">
      <c r="A5" s="34" t="str">
        <f>Escopo_EAP!A7</f>
        <v>1.2.1</v>
      </c>
      <c r="B5" s="34" t="str">
        <f>TRIM(Escopo_EAP!C7)</f>
        <v>– Testes de decodificação (inteiros, strings, listas, dicionários)</v>
      </c>
      <c r="C5" s="35">
        <v>0.5</v>
      </c>
      <c r="D5" s="35">
        <v>0.5</v>
      </c>
      <c r="E5" s="35">
        <v>0.5</v>
      </c>
      <c r="F5" s="35">
        <v>0.5</v>
      </c>
      <c r="G5" s="35">
        <v>0.5</v>
      </c>
      <c r="H5" s="35">
        <v>0.5</v>
      </c>
      <c r="I5" s="36">
        <f t="shared" si="1"/>
        <v>0.5</v>
      </c>
      <c r="J5" s="35">
        <v>0.5</v>
      </c>
      <c r="K5" s="37" t="s">
        <v>253</v>
      </c>
      <c r="L5" s="38"/>
    </row>
    <row r="6">
      <c r="A6" s="29" t="str">
        <f>Escopo_EAP!A8</f>
        <v>1.2.2</v>
      </c>
      <c r="B6" s="29" t="str">
        <f>TRIM(Escopo_EAP!C8)</f>
        <v>– Testes de codificação (dicionário → bencode)</v>
      </c>
      <c r="C6" s="30">
        <v>0.5</v>
      </c>
      <c r="D6" s="30">
        <v>0.5</v>
      </c>
      <c r="E6" s="30">
        <v>0.5</v>
      </c>
      <c r="F6" s="30">
        <v>0.5</v>
      </c>
      <c r="G6" s="30">
        <v>0.5</v>
      </c>
      <c r="H6" s="30">
        <v>0.5</v>
      </c>
      <c r="I6" s="31">
        <f t="shared" si="1"/>
        <v>0.5</v>
      </c>
      <c r="J6" s="30">
        <v>0.5</v>
      </c>
      <c r="K6" s="32" t="s">
        <v>253</v>
      </c>
      <c r="L6" s="33"/>
    </row>
    <row r="7">
      <c r="A7" s="34" t="str">
        <f>Escopo_EAP!A9</f>
        <v>1.2.3</v>
      </c>
      <c r="B7" s="34" t="str">
        <f>TRIM(Escopo_EAP!C9)</f>
        <v>– Testes de casos de borda</v>
      </c>
      <c r="C7" s="35">
        <v>0.5</v>
      </c>
      <c r="D7" s="35">
        <v>0.5</v>
      </c>
      <c r="E7" s="35">
        <v>0.5</v>
      </c>
      <c r="F7" s="35">
        <v>0.5</v>
      </c>
      <c r="G7" s="35">
        <v>0.5</v>
      </c>
      <c r="H7" s="35">
        <v>0.5</v>
      </c>
      <c r="I7" s="36">
        <f t="shared" si="1"/>
        <v>0.5</v>
      </c>
      <c r="J7" s="35">
        <v>0.5</v>
      </c>
      <c r="K7" s="37" t="s">
        <v>253</v>
      </c>
      <c r="L7" s="38"/>
    </row>
    <row r="8">
      <c r="A8" s="29" t="str">
        <f>Escopo_EAP!A11</f>
        <v>1.3.1</v>
      </c>
      <c r="B8" s="29" t="str">
        <f>TRIM(Escopo_EAP!C11)</f>
        <v>– Empacotamento/desempacotamento do Handshake</v>
      </c>
      <c r="C8" s="30">
        <v>0.5</v>
      </c>
      <c r="D8" s="30">
        <v>0.5</v>
      </c>
      <c r="E8" s="30">
        <v>1.0</v>
      </c>
      <c r="F8" s="30">
        <v>1.5</v>
      </c>
      <c r="G8" s="30">
        <v>0.5</v>
      </c>
      <c r="H8" s="30">
        <v>1.0</v>
      </c>
      <c r="I8" s="31">
        <f t="shared" si="1"/>
        <v>0.8333333333</v>
      </c>
      <c r="J8" s="30">
        <v>1.0</v>
      </c>
      <c r="K8" s="32" t="s">
        <v>253</v>
      </c>
      <c r="L8" s="33"/>
    </row>
    <row r="9">
      <c r="A9" s="34" t="str">
        <f>Escopo_EAP!A12</f>
        <v>1.3.2</v>
      </c>
      <c r="B9" s="34" t="str">
        <f>TRIM(Escopo_EAP!C12)</f>
        <v>– Empacotamento/desempacotamento de HAVE e BITFIELD</v>
      </c>
      <c r="C9" s="35">
        <v>1.0</v>
      </c>
      <c r="D9" s="35">
        <v>1.0</v>
      </c>
      <c r="E9" s="35">
        <v>1.0</v>
      </c>
      <c r="F9" s="35">
        <v>0.5</v>
      </c>
      <c r="G9" s="35">
        <v>0.5</v>
      </c>
      <c r="H9" s="35">
        <v>1.0</v>
      </c>
      <c r="I9" s="36">
        <f t="shared" si="1"/>
        <v>0.8333333333</v>
      </c>
      <c r="J9" s="35">
        <v>1.0</v>
      </c>
      <c r="K9" s="37" t="s">
        <v>253</v>
      </c>
      <c r="L9" s="38"/>
    </row>
    <row r="10">
      <c r="A10" s="29" t="str">
        <f>Escopo_EAP!A13</f>
        <v>1.3.3</v>
      </c>
      <c r="B10" s="29" t="str">
        <f>TRIM(Escopo_EAP!C13)</f>
        <v>– Empacotamento/desempacotamento de REQUEST e PIECE</v>
      </c>
      <c r="C10" s="30">
        <v>1.0</v>
      </c>
      <c r="D10" s="30">
        <v>1.0</v>
      </c>
      <c r="E10" s="30">
        <v>1.0</v>
      </c>
      <c r="F10" s="30">
        <v>1.0</v>
      </c>
      <c r="G10" s="30">
        <v>1.0</v>
      </c>
      <c r="H10" s="30">
        <v>1.0</v>
      </c>
      <c r="I10" s="31">
        <f t="shared" si="1"/>
        <v>1</v>
      </c>
      <c r="J10" s="30">
        <v>1.0</v>
      </c>
      <c r="K10" s="32" t="s">
        <v>253</v>
      </c>
      <c r="L10" s="33"/>
    </row>
    <row r="11">
      <c r="A11" s="34" t="str">
        <f>Escopo_EAP!A16</f>
        <v>2.1.1</v>
      </c>
      <c r="B11" s="34" t="str">
        <f>TRIM(Escopo_EAP!C16)</f>
        <v>– Definir mecanismo de autorização (lista de peer_id permitidos)</v>
      </c>
      <c r="C11" s="35">
        <v>0.5</v>
      </c>
      <c r="D11" s="35">
        <v>0.5</v>
      </c>
      <c r="E11" s="35">
        <v>0.5</v>
      </c>
      <c r="F11" s="35">
        <v>0.5</v>
      </c>
      <c r="G11" s="35">
        <v>0.5</v>
      </c>
      <c r="H11" s="35">
        <v>0.5</v>
      </c>
      <c r="I11" s="36">
        <f t="shared" si="1"/>
        <v>0.5</v>
      </c>
      <c r="J11" s="35">
        <v>0.5</v>
      </c>
      <c r="K11" s="37" t="s">
        <v>253</v>
      </c>
      <c r="L11" s="38"/>
    </row>
    <row r="12">
      <c r="A12" s="29" t="str">
        <f>Escopo_EAP!A17</f>
        <v>2.1.2</v>
      </c>
      <c r="B12" s="29" t="str">
        <f>TRIM(Escopo_EAP!C17)</f>
        <v>– Implementar verificação de autorização no Tracker</v>
      </c>
      <c r="C12" s="30">
        <v>1.0</v>
      </c>
      <c r="D12" s="30">
        <v>1.0</v>
      </c>
      <c r="E12" s="30">
        <v>1.5</v>
      </c>
      <c r="F12" s="30">
        <v>0.5</v>
      </c>
      <c r="G12" s="30">
        <v>1.0</v>
      </c>
      <c r="H12" s="30">
        <v>1.0</v>
      </c>
      <c r="I12" s="31">
        <f t="shared" si="1"/>
        <v>1</v>
      </c>
      <c r="J12" s="30">
        <v>1.0</v>
      </c>
      <c r="K12" s="32" t="s">
        <v>253</v>
      </c>
      <c r="L12" s="33"/>
    </row>
    <row r="13">
      <c r="A13" s="34" t="str">
        <f>Escopo_EAP!A18</f>
        <v>2.1.3</v>
      </c>
      <c r="B13" s="34" t="str">
        <f>TRIM(Escopo_EAP!C18)</f>
        <v>– Testes de rejeição de cliente não autorizado</v>
      </c>
      <c r="C13" s="35">
        <v>0.5</v>
      </c>
      <c r="D13" s="35">
        <v>0.5</v>
      </c>
      <c r="E13" s="35">
        <v>0.5</v>
      </c>
      <c r="F13" s="35">
        <v>0.5</v>
      </c>
      <c r="G13" s="35">
        <v>0.5</v>
      </c>
      <c r="H13" s="35">
        <v>0.5</v>
      </c>
      <c r="I13" s="36">
        <f t="shared" si="1"/>
        <v>0.5</v>
      </c>
      <c r="J13" s="35">
        <v>0.5</v>
      </c>
      <c r="K13" s="37" t="s">
        <v>253</v>
      </c>
      <c r="L13" s="38"/>
    </row>
    <row r="14">
      <c r="A14" s="29" t="str">
        <f>Escopo_EAP!A20</f>
        <v>2.2.1</v>
      </c>
      <c r="B14" s="29" t="str">
        <f>TRIM(Escopo_EAP!C20)</f>
        <v>– Montagem da query string (info_hash, peer_id, port, compact)</v>
      </c>
      <c r="C14" s="30">
        <v>1.5</v>
      </c>
      <c r="D14" s="30">
        <v>1.0</v>
      </c>
      <c r="E14" s="30">
        <v>1.0</v>
      </c>
      <c r="F14" s="30">
        <v>1.0</v>
      </c>
      <c r="G14" s="30">
        <v>1.0</v>
      </c>
      <c r="H14" s="30">
        <v>1.0</v>
      </c>
      <c r="I14" s="31">
        <f t="shared" si="1"/>
        <v>1.083333333</v>
      </c>
      <c r="J14" s="30">
        <v>1.0</v>
      </c>
      <c r="K14" s="32" t="s">
        <v>253</v>
      </c>
      <c r="L14" s="33"/>
    </row>
    <row r="15">
      <c r="A15" s="34" t="str">
        <f>Escopo_EAP!A21</f>
        <v>2.2.2</v>
      </c>
      <c r="B15" s="34" t="str">
        <f>TRIM(Escopo_EAP!C21)</f>
        <v>– Cálculo de uploaded/downloaded/left</v>
      </c>
      <c r="C15" s="35">
        <v>0.5</v>
      </c>
      <c r="D15" s="35">
        <v>0.5</v>
      </c>
      <c r="E15" s="35">
        <v>0.5</v>
      </c>
      <c r="F15" s="35">
        <v>0.5</v>
      </c>
      <c r="G15" s="35">
        <v>0.5</v>
      </c>
      <c r="H15" s="35">
        <v>0.5</v>
      </c>
      <c r="I15" s="36">
        <f t="shared" si="1"/>
        <v>0.5</v>
      </c>
      <c r="J15" s="35">
        <v>0.5</v>
      </c>
      <c r="K15" s="37" t="s">
        <v>253</v>
      </c>
      <c r="L15" s="38"/>
    </row>
    <row r="16">
      <c r="A16" s="29" t="str">
        <f>Escopo_EAP!A22</f>
        <v>2.2.3</v>
      </c>
      <c r="B16" s="29" t="str">
        <f>TRIM(Escopo_EAP!C22)</f>
        <v>– Testes do announce request</v>
      </c>
      <c r="C16" s="30">
        <v>0.5</v>
      </c>
      <c r="D16" s="30">
        <v>0.5</v>
      </c>
      <c r="E16" s="30">
        <v>0.5</v>
      </c>
      <c r="F16" s="30">
        <v>0.5</v>
      </c>
      <c r="G16" s="30">
        <v>0.5</v>
      </c>
      <c r="H16" s="30">
        <v>0.5</v>
      </c>
      <c r="I16" s="31">
        <f t="shared" si="1"/>
        <v>0.5</v>
      </c>
      <c r="J16" s="30">
        <v>0.5</v>
      </c>
      <c r="K16" s="32" t="s">
        <v>253</v>
      </c>
      <c r="L16" s="33"/>
    </row>
    <row r="17">
      <c r="A17" s="34" t="str">
        <f>Escopo_EAP!A24</f>
        <v>2.3.1</v>
      </c>
      <c r="B17" s="34" t="str">
        <f>TRIM(Escopo_EAP!C24)</f>
        <v>– Tabela info_hash → lista de peers no Tracker</v>
      </c>
      <c r="C17" s="35">
        <v>0.5</v>
      </c>
      <c r="D17" s="35">
        <v>1.0</v>
      </c>
      <c r="E17" s="35">
        <v>0.5</v>
      </c>
      <c r="F17" s="35">
        <v>0.5</v>
      </c>
      <c r="G17" s="35">
        <v>0.5</v>
      </c>
      <c r="H17" s="35">
        <v>1.0</v>
      </c>
      <c r="I17" s="36">
        <f t="shared" si="1"/>
        <v>0.6666666667</v>
      </c>
      <c r="J17" s="35">
        <v>1.0</v>
      </c>
      <c r="K17" s="37" t="s">
        <v>253</v>
      </c>
      <c r="L17" s="38"/>
    </row>
    <row r="18">
      <c r="A18" s="29" t="str">
        <f>Escopo_EAP!A25</f>
        <v>2.3.2</v>
      </c>
      <c r="B18" s="29" t="str">
        <f>TRIM(Escopo_EAP!C25)</f>
        <v>– Formato compacto de peers (compact=1)</v>
      </c>
      <c r="C18" s="30">
        <v>0.5</v>
      </c>
      <c r="D18" s="30">
        <v>1.0</v>
      </c>
      <c r="E18" s="30">
        <v>1.0</v>
      </c>
      <c r="F18" s="30">
        <v>1.5</v>
      </c>
      <c r="G18" s="30">
        <v>0.5</v>
      </c>
      <c r="H18" s="30">
        <v>1.0</v>
      </c>
      <c r="I18" s="31">
        <f t="shared" si="1"/>
        <v>0.9166666667</v>
      </c>
      <c r="J18" s="30">
        <v>1.0</v>
      </c>
      <c r="K18" s="32" t="s">
        <v>253</v>
      </c>
      <c r="L18" s="33"/>
    </row>
    <row r="19">
      <c r="A19" s="34" t="str">
        <f>Escopo_EAP!A26</f>
        <v>2.3.3</v>
      </c>
      <c r="B19" s="34" t="str">
        <f>TRIM(Escopo_EAP!C26)</f>
        <v>– Contadores complete/incomplete</v>
      </c>
      <c r="C19" s="35">
        <v>0.5</v>
      </c>
      <c r="D19" s="35">
        <v>0.5</v>
      </c>
      <c r="E19" s="35">
        <v>0.5</v>
      </c>
      <c r="F19" s="35">
        <v>0.5</v>
      </c>
      <c r="G19" s="35">
        <v>0.5</v>
      </c>
      <c r="H19" s="35">
        <v>0.5</v>
      </c>
      <c r="I19" s="36">
        <f t="shared" si="1"/>
        <v>0.5</v>
      </c>
      <c r="J19" s="35">
        <v>0.5</v>
      </c>
      <c r="K19" s="37" t="s">
        <v>253</v>
      </c>
      <c r="L19" s="38"/>
    </row>
    <row r="20">
      <c r="A20" s="29" t="str">
        <f>Escopo_EAP!A28</f>
        <v>2.4.1</v>
      </c>
      <c r="B20" s="29" t="str">
        <f>TRIM(Escopo_EAP!C28)</f>
        <v>– Parsing da resposta Bencode</v>
      </c>
      <c r="C20" s="30">
        <v>0.5</v>
      </c>
      <c r="D20" s="30">
        <v>0.5</v>
      </c>
      <c r="E20" s="30">
        <v>0.5</v>
      </c>
      <c r="F20" s="30">
        <v>0.5</v>
      </c>
      <c r="G20" s="30">
        <v>0.5</v>
      </c>
      <c r="H20" s="30">
        <v>0.5</v>
      </c>
      <c r="I20" s="31">
        <f t="shared" si="1"/>
        <v>0.5</v>
      </c>
      <c r="J20" s="30">
        <v>0.5</v>
      </c>
      <c r="K20" s="32" t="s">
        <v>253</v>
      </c>
      <c r="L20" s="33"/>
    </row>
    <row r="21" ht="15.75" customHeight="1">
      <c r="A21" s="34" t="str">
        <f>Escopo_EAP!A29</f>
        <v>2.4.2</v>
      </c>
      <c r="B21" s="34" t="str">
        <f>TRIM(Escopo_EAP!C29)</f>
        <v>– Extração e tratamento da lista de peers</v>
      </c>
      <c r="C21" s="35">
        <v>0.5</v>
      </c>
      <c r="D21" s="35">
        <v>0.5</v>
      </c>
      <c r="E21" s="35">
        <v>0.5</v>
      </c>
      <c r="F21" s="35">
        <v>0.5</v>
      </c>
      <c r="G21" s="35">
        <v>0.5</v>
      </c>
      <c r="H21" s="35">
        <v>0.5</v>
      </c>
      <c r="I21" s="36">
        <f t="shared" si="1"/>
        <v>0.5</v>
      </c>
      <c r="J21" s="35">
        <v>0.5</v>
      </c>
      <c r="K21" s="37" t="s">
        <v>253</v>
      </c>
      <c r="L21" s="38"/>
    </row>
    <row r="22" ht="15.75" customHeight="1">
      <c r="A22" s="29" t="str">
        <f>Escopo_EAP!A30</f>
        <v>2.4.3</v>
      </c>
      <c r="B22" s="29" t="str">
        <f>TRIM(Escopo_EAP!C30)</f>
        <v>– Tratamento de failure reason</v>
      </c>
      <c r="C22" s="30">
        <v>0.5</v>
      </c>
      <c r="D22" s="30">
        <v>0.5</v>
      </c>
      <c r="E22" s="30">
        <v>0.5</v>
      </c>
      <c r="F22" s="30">
        <v>0.5</v>
      </c>
      <c r="G22" s="30">
        <v>0.5</v>
      </c>
      <c r="H22" s="30">
        <v>0.5</v>
      </c>
      <c r="I22" s="31">
        <f t="shared" si="1"/>
        <v>0.5</v>
      </c>
      <c r="J22" s="30">
        <v>0.5</v>
      </c>
      <c r="K22" s="32" t="s">
        <v>253</v>
      </c>
      <c r="L22" s="33"/>
    </row>
    <row r="23" ht="15.75" customHeight="1">
      <c r="A23" s="34" t="str">
        <f>Escopo_EAP!A33</f>
        <v>3.1.1</v>
      </c>
      <c r="B23" s="34" t="str">
        <f>TRIM(Escopo_EAP!C33)</f>
        <v>– Envio do handshake</v>
      </c>
      <c r="C23" s="35">
        <v>1.0</v>
      </c>
      <c r="D23" s="35">
        <v>0.5</v>
      </c>
      <c r="E23" s="35">
        <v>1.5</v>
      </c>
      <c r="F23" s="35">
        <v>1.0</v>
      </c>
      <c r="G23" s="35">
        <v>1.5</v>
      </c>
      <c r="H23" s="35">
        <v>1.0</v>
      </c>
      <c r="I23" s="36">
        <f t="shared" si="1"/>
        <v>1.083333333</v>
      </c>
      <c r="J23" s="35">
        <v>1.0</v>
      </c>
      <c r="K23" s="37" t="s">
        <v>253</v>
      </c>
      <c r="L23" s="38"/>
    </row>
    <row r="24" ht="15.75" customHeight="1">
      <c r="A24" s="29" t="str">
        <f>Escopo_EAP!A34</f>
        <v>3.1.2</v>
      </c>
      <c r="B24" s="29" t="str">
        <f>TRIM(Escopo_EAP!C34)</f>
        <v>– Validação do info_hash recebido</v>
      </c>
      <c r="C24" s="30">
        <v>0.5</v>
      </c>
      <c r="D24" s="30">
        <v>0.5</v>
      </c>
      <c r="E24" s="30">
        <v>0.5</v>
      </c>
      <c r="F24" s="30">
        <v>0.5</v>
      </c>
      <c r="G24" s="30">
        <v>0.5</v>
      </c>
      <c r="H24" s="30">
        <v>0.5</v>
      </c>
      <c r="I24" s="31">
        <f t="shared" si="1"/>
        <v>0.5</v>
      </c>
      <c r="J24" s="30">
        <v>0.5</v>
      </c>
      <c r="K24" s="32" t="s">
        <v>253</v>
      </c>
      <c r="L24" s="33"/>
    </row>
    <row r="25" ht="15.75" customHeight="1">
      <c r="A25" s="34" t="str">
        <f>Escopo_EAP!A36</f>
        <v>3.2.1</v>
      </c>
      <c r="B25" s="34" t="str">
        <f>TRIM(Escopo_EAP!C36)</f>
        <v>– Geração do bitfield local</v>
      </c>
      <c r="C25" s="35">
        <v>1.0</v>
      </c>
      <c r="D25" s="35">
        <v>0.5</v>
      </c>
      <c r="E25" s="35">
        <v>1.0</v>
      </c>
      <c r="F25" s="35">
        <v>0.5</v>
      </c>
      <c r="G25" s="35">
        <v>0.5</v>
      </c>
      <c r="H25" s="35">
        <v>0.5</v>
      </c>
      <c r="I25" s="36">
        <f t="shared" si="1"/>
        <v>0.6666666667</v>
      </c>
      <c r="J25" s="35">
        <v>1.0</v>
      </c>
      <c r="K25" s="37" t="s">
        <v>253</v>
      </c>
      <c r="L25" s="38"/>
    </row>
    <row r="26" ht="15.75" customHeight="1">
      <c r="A26" s="29" t="str">
        <f>Escopo_EAP!A37</f>
        <v>3.2.2</v>
      </c>
      <c r="B26" s="29" t="str">
        <f>TRIM(Escopo_EAP!C37)</f>
        <v>– Leitura do bitfield remoto</v>
      </c>
      <c r="C26" s="30">
        <v>0.5</v>
      </c>
      <c r="D26" s="30">
        <v>0.5</v>
      </c>
      <c r="E26" s="30">
        <v>0.5</v>
      </c>
      <c r="F26" s="30">
        <v>0.5</v>
      </c>
      <c r="G26" s="30">
        <v>0.5</v>
      </c>
      <c r="H26" s="30">
        <v>0.5</v>
      </c>
      <c r="I26" s="31">
        <f t="shared" si="1"/>
        <v>0.5</v>
      </c>
      <c r="J26" s="30">
        <v>0.5</v>
      </c>
      <c r="K26" s="32" t="s">
        <v>253</v>
      </c>
      <c r="L26" s="33"/>
    </row>
    <row r="27" ht="15.75" customHeight="1">
      <c r="A27" s="34" t="str">
        <f>Escopo_EAP!A39</f>
        <v>3.3.1</v>
      </c>
      <c r="B27" s="34" t="str">
        <f>TRIM(Escopo_EAP!C39)</f>
        <v>– Envio de INTERESTED</v>
      </c>
      <c r="C27" s="35">
        <v>0.5</v>
      </c>
      <c r="D27" s="35">
        <v>0.5</v>
      </c>
      <c r="E27" s="35">
        <v>0.5</v>
      </c>
      <c r="F27" s="35">
        <v>0.5</v>
      </c>
      <c r="G27" s="35">
        <v>0.5</v>
      </c>
      <c r="H27" s="35">
        <v>0.5</v>
      </c>
      <c r="I27" s="36">
        <f t="shared" si="1"/>
        <v>0.5</v>
      </c>
      <c r="J27" s="35">
        <v>0.5</v>
      </c>
      <c r="K27" s="37" t="s">
        <v>253</v>
      </c>
      <c r="L27" s="38"/>
    </row>
    <row r="28" ht="15.75" customHeight="1">
      <c r="A28" s="29" t="str">
        <f>Escopo_EAP!A40</f>
        <v>3.3.2</v>
      </c>
      <c r="B28" s="29" t="str">
        <f>TRIM(Escopo_EAP!C40)</f>
        <v>– Lógica de UNCHOKE (liberação de banda)</v>
      </c>
      <c r="C28" s="30">
        <v>1.0</v>
      </c>
      <c r="D28" s="30">
        <v>1.0</v>
      </c>
      <c r="E28" s="30">
        <v>0.5</v>
      </c>
      <c r="F28" s="30">
        <v>0.5</v>
      </c>
      <c r="G28" s="30">
        <v>1.0</v>
      </c>
      <c r="H28" s="30">
        <v>1.0</v>
      </c>
      <c r="I28" s="31">
        <f t="shared" si="1"/>
        <v>0.8333333333</v>
      </c>
      <c r="J28" s="30">
        <v>1.0</v>
      </c>
      <c r="K28" s="32" t="s">
        <v>253</v>
      </c>
      <c r="L28" s="33"/>
    </row>
    <row r="29" ht="15.75" customHeight="1">
      <c r="A29" s="34" t="str">
        <f>Escopo_EAP!A42</f>
        <v>3.4.1</v>
      </c>
      <c r="B29" s="34" t="str">
        <f>TRIM(Escopo_EAP!C42)</f>
        <v>– Envio de REQUEST por bloco (16 KiB)</v>
      </c>
      <c r="C29" s="35">
        <v>1.5</v>
      </c>
      <c r="D29" s="35">
        <v>0.5</v>
      </c>
      <c r="E29" s="35">
        <v>0.5</v>
      </c>
      <c r="F29" s="35">
        <v>1.5</v>
      </c>
      <c r="G29" s="35">
        <v>1.0</v>
      </c>
      <c r="H29" s="35">
        <v>0.5</v>
      </c>
      <c r="I29" s="36">
        <f t="shared" si="1"/>
        <v>0.9166666667</v>
      </c>
      <c r="J29" s="35">
        <v>1.0</v>
      </c>
      <c r="K29" s="37" t="s">
        <v>253</v>
      </c>
      <c r="L29" s="38"/>
    </row>
    <row r="30" ht="15.75" customHeight="1">
      <c r="A30" s="29" t="str">
        <f>Escopo_EAP!A43</f>
        <v>3.4.2</v>
      </c>
      <c r="B30" s="29" t="str">
        <f>TRIM(Escopo_EAP!C43)</f>
        <v>– Recebimento e buffer de PIECE</v>
      </c>
      <c r="C30" s="30">
        <v>1.0</v>
      </c>
      <c r="D30" s="30">
        <v>0.5</v>
      </c>
      <c r="E30" s="30">
        <v>1.0</v>
      </c>
      <c r="F30" s="30">
        <v>1.5</v>
      </c>
      <c r="G30" s="30">
        <v>1.5</v>
      </c>
      <c r="H30" s="30">
        <v>1.0</v>
      </c>
      <c r="I30" s="31">
        <f t="shared" si="1"/>
        <v>1.083333333</v>
      </c>
      <c r="J30" s="30">
        <v>1.0</v>
      </c>
      <c r="K30" s="32" t="s">
        <v>253</v>
      </c>
      <c r="L30" s="33"/>
    </row>
    <row r="31" ht="15.75" customHeight="1">
      <c r="A31" s="34" t="str">
        <f>Escopo_EAP!A44</f>
        <v>3.4.3</v>
      </c>
      <c r="B31" s="34" t="str">
        <f>TRIM(Escopo_EAP!C44)</f>
        <v>– Controle do loop até completar a peça</v>
      </c>
      <c r="C31" s="35">
        <v>1.0</v>
      </c>
      <c r="D31" s="35">
        <v>1.0</v>
      </c>
      <c r="E31" s="35">
        <v>0.5</v>
      </c>
      <c r="F31" s="35">
        <v>1.0</v>
      </c>
      <c r="G31" s="35">
        <v>1.0</v>
      </c>
      <c r="H31" s="35">
        <v>1.0</v>
      </c>
      <c r="I31" s="36">
        <f t="shared" si="1"/>
        <v>0.9166666667</v>
      </c>
      <c r="J31" s="35">
        <v>1.0</v>
      </c>
      <c r="K31" s="37" t="s">
        <v>253</v>
      </c>
      <c r="L31" s="38"/>
    </row>
    <row r="32" ht="15.75" customHeight="1">
      <c r="A32" s="29" t="str">
        <f>Escopo_EAP!A46</f>
        <v>3.5.1</v>
      </c>
      <c r="B32" s="29" t="str">
        <f>TRIM(Escopo_EAP!C46)</f>
        <v>– Validação de peça completa (hash)</v>
      </c>
      <c r="C32" s="30">
        <v>1.0</v>
      </c>
      <c r="D32" s="30">
        <v>1.0</v>
      </c>
      <c r="E32" s="30">
        <v>1.0</v>
      </c>
      <c r="F32" s="30">
        <v>1.5</v>
      </c>
      <c r="G32" s="30">
        <v>1.5</v>
      </c>
      <c r="H32" s="30">
        <v>1.0</v>
      </c>
      <c r="I32" s="31">
        <f t="shared" si="1"/>
        <v>1.166666667</v>
      </c>
      <c r="J32" s="30">
        <v>1.0</v>
      </c>
      <c r="K32" s="32" t="s">
        <v>253</v>
      </c>
      <c r="L32" s="33"/>
    </row>
    <row r="33" ht="15.75" customHeight="1">
      <c r="A33" s="34" t="str">
        <f>Escopo_EAP!A47</f>
        <v>3.5.2</v>
      </c>
      <c r="B33" s="34" t="str">
        <f>TRIM(Escopo_EAP!C47)</f>
        <v>– Broadcast de HAVE aos peers</v>
      </c>
      <c r="C33" s="35">
        <v>0.5</v>
      </c>
      <c r="D33" s="35">
        <v>0.5</v>
      </c>
      <c r="E33" s="35">
        <v>0.5</v>
      </c>
      <c r="F33" s="35">
        <v>0.5</v>
      </c>
      <c r="G33" s="35">
        <v>0.5</v>
      </c>
      <c r="H33" s="35">
        <v>0.5</v>
      </c>
      <c r="I33" s="36">
        <f t="shared" si="1"/>
        <v>0.5</v>
      </c>
      <c r="J33" s="35">
        <v>0.5</v>
      </c>
      <c r="K33" s="37" t="s">
        <v>253</v>
      </c>
      <c r="L33" s="38"/>
    </row>
    <row r="34" ht="15.75" customHeight="1">
      <c r="A34" s="29" t="str">
        <f>Escopo_EAP!A50</f>
        <v>4.1.1</v>
      </c>
      <c r="B34" s="29" t="str">
        <f>TRIM(Escopo_EAP!C50)</f>
        <v>– Abertura e manutenção da conexão TCP</v>
      </c>
      <c r="C34" s="30">
        <v>1.0</v>
      </c>
      <c r="D34" s="30">
        <v>1.0</v>
      </c>
      <c r="E34" s="30">
        <v>1.0</v>
      </c>
      <c r="F34" s="30">
        <v>1.5</v>
      </c>
      <c r="G34" s="30">
        <v>2.0</v>
      </c>
      <c r="H34" s="30">
        <v>1.5</v>
      </c>
      <c r="I34" s="31">
        <f t="shared" si="1"/>
        <v>1.333333333</v>
      </c>
      <c r="J34" s="30">
        <v>1.5</v>
      </c>
      <c r="K34" s="32" t="s">
        <v>253</v>
      </c>
      <c r="L34" s="33"/>
    </row>
    <row r="35" ht="15.75" customHeight="1">
      <c r="A35" s="34" t="str">
        <f>Escopo_EAP!A51</f>
        <v>4.1.2</v>
      </c>
      <c r="B35" s="34" t="str">
        <f>TRIM(Escopo_EAP!C51)</f>
        <v>– Tratamento de timeout/reconexão</v>
      </c>
      <c r="C35" s="35">
        <v>1.5</v>
      </c>
      <c r="D35" s="35">
        <v>1.5</v>
      </c>
      <c r="E35" s="35">
        <v>1.5</v>
      </c>
      <c r="F35" s="35">
        <v>1.0</v>
      </c>
      <c r="G35" s="35">
        <v>1.0</v>
      </c>
      <c r="H35" s="35">
        <v>1.0</v>
      </c>
      <c r="I35" s="36">
        <f t="shared" si="1"/>
        <v>1.25</v>
      </c>
      <c r="J35" s="35">
        <v>1.0</v>
      </c>
      <c r="K35" s="37" t="s">
        <v>253</v>
      </c>
      <c r="L35" s="38"/>
    </row>
    <row r="36" ht="15.75" customHeight="1">
      <c r="A36" s="29" t="str">
        <f>Escopo_EAP!A53</f>
        <v>4.2.1</v>
      </c>
      <c r="B36" s="29" t="str">
        <f>TRIM(Escopo_EAP!C53)</f>
        <v>– Buffer de peça em memória</v>
      </c>
      <c r="C36" s="30">
        <v>1.0</v>
      </c>
      <c r="D36" s="30">
        <v>1.0</v>
      </c>
      <c r="E36" s="30">
        <v>1.0</v>
      </c>
      <c r="F36" s="30">
        <v>1.5</v>
      </c>
      <c r="G36" s="30">
        <v>1.5</v>
      </c>
      <c r="H36" s="30">
        <v>1.0</v>
      </c>
      <c r="I36" s="31">
        <f t="shared" si="1"/>
        <v>1.166666667</v>
      </c>
      <c r="J36" s="30">
        <v>1.0</v>
      </c>
      <c r="K36" s="32" t="s">
        <v>253</v>
      </c>
      <c r="L36" s="33"/>
    </row>
    <row r="37" ht="15.75" customHeight="1">
      <c r="A37" s="34" t="str">
        <f>Escopo_EAP!A54</f>
        <v>4.2.2</v>
      </c>
      <c r="B37" s="34" t="str">
        <f>TRIM(Escopo_EAP!C54)</f>
        <v>– Escrita da peça validada no arquivo final</v>
      </c>
      <c r="C37" s="35">
        <v>1.0</v>
      </c>
      <c r="D37" s="35">
        <v>1.0</v>
      </c>
      <c r="E37" s="35">
        <v>0.5</v>
      </c>
      <c r="F37" s="35">
        <v>1.0</v>
      </c>
      <c r="G37" s="35">
        <v>1.5</v>
      </c>
      <c r="H37" s="35">
        <v>1.0</v>
      </c>
      <c r="I37" s="36">
        <f t="shared" si="1"/>
        <v>1</v>
      </c>
      <c r="J37" s="35">
        <v>1.0</v>
      </c>
      <c r="K37" s="37" t="s">
        <v>253</v>
      </c>
      <c r="L37" s="38"/>
    </row>
    <row r="38" ht="15.75" customHeight="1">
      <c r="A38" s="29" t="str">
        <f>Escopo_EAP!A56</f>
        <v>4.3.1</v>
      </c>
      <c r="B38" s="29" t="str">
        <f>TRIM(Escopo_EAP!C56)</f>
        <v>– Cálculo de hash SHA-1 por peça</v>
      </c>
      <c r="C38" s="30">
        <v>0.5</v>
      </c>
      <c r="D38" s="30">
        <v>0.5</v>
      </c>
      <c r="E38" s="30">
        <v>0.5</v>
      </c>
      <c r="F38" s="30">
        <v>0.5</v>
      </c>
      <c r="G38" s="30">
        <v>0.5</v>
      </c>
      <c r="H38" s="30">
        <v>0.5</v>
      </c>
      <c r="I38" s="31">
        <f t="shared" si="1"/>
        <v>0.5</v>
      </c>
      <c r="J38" s="30">
        <v>0.5</v>
      </c>
      <c r="K38" s="32" t="s">
        <v>253</v>
      </c>
      <c r="L38" s="33"/>
    </row>
    <row r="39" ht="15.75" customHeight="1">
      <c r="A39" s="34" t="str">
        <f>Escopo_EAP!A57</f>
        <v>4.3.2</v>
      </c>
      <c r="B39" s="34" t="str">
        <f>TRIM(Escopo_EAP!C57)</f>
        <v>– Comparação com hash esperado e tratamento de falha</v>
      </c>
      <c r="C39" s="35">
        <v>0.5</v>
      </c>
      <c r="D39" s="35">
        <v>0.5</v>
      </c>
      <c r="E39" s="35">
        <v>0.5</v>
      </c>
      <c r="F39" s="35">
        <v>0.5</v>
      </c>
      <c r="G39" s="35">
        <v>0.5</v>
      </c>
      <c r="H39" s="35">
        <v>0.5</v>
      </c>
      <c r="I39" s="36">
        <f t="shared" si="1"/>
        <v>0.5</v>
      </c>
      <c r="J39" s="35">
        <v>0.5</v>
      </c>
      <c r="K39" s="37" t="s">
        <v>253</v>
      </c>
      <c r="L39" s="38"/>
    </row>
    <row r="40" ht="15.75" customHeight="1">
      <c r="A40" s="29" t="str">
        <f>Escopo_EAP!A59</f>
        <v>5.1</v>
      </c>
      <c r="B40" s="29" t="str">
        <f>TRIM(Escopo_EAP!C59)</f>
        <v>Upload de arquivos (fragmentação e catalogação)</v>
      </c>
      <c r="C40" s="30">
        <v>2.0</v>
      </c>
      <c r="D40" s="30">
        <v>2.0</v>
      </c>
      <c r="E40" s="30">
        <v>4.0</v>
      </c>
      <c r="F40" s="30">
        <v>3.5</v>
      </c>
      <c r="G40" s="30">
        <v>2.0</v>
      </c>
      <c r="H40" s="30">
        <v>4.0</v>
      </c>
      <c r="I40" s="31">
        <f t="shared" si="1"/>
        <v>2.916666667</v>
      </c>
      <c r="J40" s="30">
        <v>3.0</v>
      </c>
      <c r="K40" s="32" t="s">
        <v>253</v>
      </c>
      <c r="L40" s="33"/>
    </row>
    <row r="41" ht="15.75" customHeight="1">
      <c r="A41" s="34" t="str">
        <f>Escopo_EAP!A60</f>
        <v>5.2</v>
      </c>
      <c r="B41" s="34" t="str">
        <f>TRIM(Escopo_EAP!C60)</f>
        <v>Distribuição resiliente de fragmentos</v>
      </c>
      <c r="C41" s="35">
        <v>4.0</v>
      </c>
      <c r="D41" s="35">
        <v>3.5</v>
      </c>
      <c r="E41" s="35">
        <v>2.5</v>
      </c>
      <c r="F41" s="35">
        <v>3.0</v>
      </c>
      <c r="G41" s="35">
        <v>2.0</v>
      </c>
      <c r="H41" s="35">
        <v>2.0</v>
      </c>
      <c r="I41" s="36">
        <f t="shared" si="1"/>
        <v>2.833333333</v>
      </c>
      <c r="J41" s="35">
        <v>3.0</v>
      </c>
      <c r="K41" s="37" t="s">
        <v>253</v>
      </c>
      <c r="L41" s="38"/>
    </row>
    <row r="42" ht="15.75" customHeight="1">
      <c r="A42" s="29" t="str">
        <f>Escopo_EAP!A61</f>
        <v>5.3</v>
      </c>
      <c r="B42" s="29" t="str">
        <f>TRIM(Escopo_EAP!C61)</f>
        <v>Eleição de um novo Tracker em caso de falha</v>
      </c>
      <c r="C42" s="30">
        <v>3.5</v>
      </c>
      <c r="D42" s="30">
        <v>3.0</v>
      </c>
      <c r="E42" s="30">
        <v>2.5</v>
      </c>
      <c r="F42" s="30">
        <v>3.5</v>
      </c>
      <c r="G42" s="30">
        <v>2.5</v>
      </c>
      <c r="H42" s="30">
        <v>3.0</v>
      </c>
      <c r="I42" s="31">
        <f t="shared" si="1"/>
        <v>3</v>
      </c>
      <c r="J42" s="30">
        <v>2.5</v>
      </c>
      <c r="K42" s="32" t="s">
        <v>253</v>
      </c>
      <c r="L42" s="33"/>
    </row>
    <row r="43" ht="15.75" customHeight="1">
      <c r="A43" s="34" t="str">
        <f>Escopo_EAP!A62</f>
        <v>5.4</v>
      </c>
      <c r="B43" s="34" t="str">
        <f>TRIM(Escopo_EAP!C62)</f>
        <v>Modo de lockdown automático da rede</v>
      </c>
      <c r="C43" s="35">
        <v>2.5</v>
      </c>
      <c r="D43" s="35">
        <v>1.5</v>
      </c>
      <c r="E43" s="35">
        <v>1.5</v>
      </c>
      <c r="F43" s="35">
        <v>1.5</v>
      </c>
      <c r="G43" s="35">
        <v>1.5</v>
      </c>
      <c r="H43" s="35">
        <v>2.0</v>
      </c>
      <c r="I43" s="36">
        <f t="shared" si="1"/>
        <v>1.75</v>
      </c>
      <c r="J43" s="35">
        <v>2.0</v>
      </c>
      <c r="K43" s="37" t="s">
        <v>253</v>
      </c>
      <c r="L43" s="38"/>
    </row>
    <row r="44" ht="15.75" customHeight="1">
      <c r="A44" s="29" t="str">
        <f>Escopo_EAP!A63</f>
        <v>5.5</v>
      </c>
      <c r="B44" s="29" t="str">
        <f>TRIM(Escopo_EAP!C63)</f>
        <v>Gestão de permissões mais granular</v>
      </c>
      <c r="C44" s="30">
        <v>1.0</v>
      </c>
      <c r="D44" s="30">
        <v>1.5</v>
      </c>
      <c r="E44" s="30">
        <v>1.0</v>
      </c>
      <c r="F44" s="30">
        <v>2.0</v>
      </c>
      <c r="G44" s="30">
        <v>1.5</v>
      </c>
      <c r="H44" s="30">
        <v>1.5</v>
      </c>
      <c r="I44" s="31">
        <f t="shared" si="1"/>
        <v>1.416666667</v>
      </c>
      <c r="J44" s="30">
        <v>1.5</v>
      </c>
      <c r="K44" s="32" t="s">
        <v>253</v>
      </c>
      <c r="L44" s="33"/>
    </row>
    <row r="45" ht="15.75" customHeight="1">
      <c r="A45" s="34" t="str">
        <f>Escopo_EAP!A65</f>
        <v>6.1</v>
      </c>
      <c r="B45" s="34" t="str">
        <f>TRIM(Escopo_EAP!C65)</f>
        <v>Testes de integração</v>
      </c>
      <c r="C45" s="35">
        <v>2.0</v>
      </c>
      <c r="D45" s="35">
        <v>2.5</v>
      </c>
      <c r="E45" s="35">
        <v>2.0</v>
      </c>
      <c r="F45" s="35">
        <v>2.5</v>
      </c>
      <c r="G45" s="35">
        <v>2.0</v>
      </c>
      <c r="H45" s="35">
        <v>2.0</v>
      </c>
      <c r="I45" s="36">
        <f t="shared" si="1"/>
        <v>2.166666667</v>
      </c>
      <c r="J45" s="35">
        <v>2.0</v>
      </c>
      <c r="K45" s="37" t="s">
        <v>253</v>
      </c>
      <c r="L45" s="38"/>
    </row>
    <row r="46" ht="15.75" customHeight="1">
      <c r="A46" s="29" t="str">
        <f>Escopo_EAP!A66</f>
        <v>6.2</v>
      </c>
      <c r="B46" s="29" t="str">
        <f>TRIM(Escopo_EAP!C66)</f>
        <v>Documentação (README, licença MIT)</v>
      </c>
      <c r="C46" s="30">
        <v>1.0</v>
      </c>
      <c r="D46" s="30">
        <v>0.5</v>
      </c>
      <c r="E46" s="30">
        <v>1.0</v>
      </c>
      <c r="F46" s="30">
        <v>0.5</v>
      </c>
      <c r="G46" s="30">
        <v>0.5</v>
      </c>
      <c r="H46" s="30">
        <v>1.0</v>
      </c>
      <c r="I46" s="31">
        <f t="shared" si="1"/>
        <v>0.75</v>
      </c>
      <c r="J46" s="30">
        <v>1.0</v>
      </c>
      <c r="K46" s="32" t="s">
        <v>253</v>
      </c>
      <c r="L46" s="33"/>
    </row>
    <row r="47" ht="15.75" customHeight="1">
      <c r="A47" s="34" t="str">
        <f>Escopo_EAP!A67</f>
        <v>6.3</v>
      </c>
      <c r="B47" s="34" t="str">
        <f>TRIM(Escopo_EAP!C67)</f>
        <v>Preparação das apresentações</v>
      </c>
      <c r="C47" s="35">
        <v>0.5</v>
      </c>
      <c r="D47" s="35">
        <v>1.0</v>
      </c>
      <c r="E47" s="35">
        <v>1.0</v>
      </c>
      <c r="F47" s="35">
        <v>1.0</v>
      </c>
      <c r="G47" s="35">
        <v>1.0</v>
      </c>
      <c r="H47" s="35">
        <v>1.0</v>
      </c>
      <c r="I47" s="36">
        <f t="shared" si="1"/>
        <v>0.9166666667</v>
      </c>
      <c r="J47" s="35">
        <v>1.0</v>
      </c>
      <c r="K47" s="37" t="s">
        <v>253</v>
      </c>
      <c r="L47" s="3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qref="K4:K47">
      <formula1>Listas!$M$2:$M$3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8.0"/>
    <col customWidth="1" min="2" max="2" width="38.0"/>
    <col customWidth="1" min="3" max="3" width="16.0"/>
    <col customWidth="1" min="4" max="4" width="12.0"/>
    <col customWidth="1" min="5" max="6" width="13.0"/>
    <col customWidth="1" min="7" max="8" width="14.0"/>
    <col customWidth="1" min="9" max="9" width="12.0"/>
    <col customWidth="1" min="10" max="10" width="14.0"/>
    <col customWidth="1" min="11" max="11" width="10.0"/>
    <col customWidth="1" min="12" max="12" width="18.0"/>
    <col customWidth="1" min="13" max="26" width="8.71"/>
  </cols>
  <sheetData>
    <row r="1" ht="25.5" customHeight="1">
      <c r="A1" s="1" t="s">
        <v>281</v>
      </c>
      <c r="B1" s="4"/>
      <c r="C1" s="4"/>
      <c r="D1" s="4"/>
      <c r="E1" s="4"/>
      <c r="F1" s="4"/>
      <c r="G1" s="4"/>
      <c r="H1" s="4"/>
      <c r="I1" s="4"/>
      <c r="J1" s="4"/>
      <c r="K1" s="4"/>
      <c r="L1" s="3"/>
    </row>
    <row r="2">
      <c r="A2" s="5" t="s">
        <v>289</v>
      </c>
    </row>
    <row r="4">
      <c r="A4" s="6" t="s">
        <v>292</v>
      </c>
      <c r="C4" s="47">
        <v>46260.0</v>
      </c>
      <c r="E4" s="48" t="s">
        <v>298</v>
      </c>
    </row>
    <row r="5">
      <c r="A5" s="6" t="s">
        <v>300</v>
      </c>
      <c r="C5" s="47">
        <v>46274.0</v>
      </c>
      <c r="E5" s="48" t="s">
        <v>301</v>
      </c>
    </row>
    <row r="6">
      <c r="A6" s="6" t="s">
        <v>303</v>
      </c>
      <c r="C6" s="47">
        <v>46302.0</v>
      </c>
      <c r="E6" s="48" t="s">
        <v>306</v>
      </c>
    </row>
    <row r="7">
      <c r="A7" s="6" t="s">
        <v>307</v>
      </c>
      <c r="C7" s="50">
        <v>150.0</v>
      </c>
    </row>
    <row r="8">
      <c r="A8" s="6" t="s">
        <v>309</v>
      </c>
      <c r="C8" s="51">
        <v>8.0</v>
      </c>
    </row>
    <row r="9">
      <c r="A9" s="6" t="s">
        <v>311</v>
      </c>
      <c r="C9" s="53">
        <f>C7*C8</f>
        <v>1200</v>
      </c>
    </row>
    <row r="10">
      <c r="A10" s="48" t="s">
        <v>315</v>
      </c>
    </row>
    <row r="12" ht="31.5" customHeight="1">
      <c r="A12" s="9" t="s">
        <v>7</v>
      </c>
      <c r="B12" s="9" t="s">
        <v>317</v>
      </c>
      <c r="C12" s="9" t="s">
        <v>13</v>
      </c>
      <c r="D12" s="9" t="s">
        <v>318</v>
      </c>
      <c r="E12" s="9" t="s">
        <v>319</v>
      </c>
      <c r="F12" s="9" t="s">
        <v>320</v>
      </c>
      <c r="G12" s="9" t="s">
        <v>321</v>
      </c>
      <c r="H12" s="9" t="s">
        <v>322</v>
      </c>
      <c r="I12" s="9" t="s">
        <v>323</v>
      </c>
      <c r="J12" s="9" t="s">
        <v>15</v>
      </c>
      <c r="K12" s="9" t="s">
        <v>324</v>
      </c>
      <c r="L12" s="9" t="s">
        <v>325</v>
      </c>
    </row>
    <row r="13">
      <c r="A13" s="56" t="str">
        <f>Escopo_EAP!A5</f>
        <v>1.1</v>
      </c>
      <c r="B13" s="56" t="str">
        <f>TRIM(Escopo_EAP!C5)</f>
        <v>Parser B-encode (encode/decode)</v>
      </c>
      <c r="C13" s="57" t="s">
        <v>50</v>
      </c>
      <c r="D13" s="58">
        <f>IFERROR(Planning_Poker!J4,0)</f>
        <v>1</v>
      </c>
      <c r="E13" s="59">
        <f>$C$4</f>
        <v>46260</v>
      </c>
      <c r="F13" s="59">
        <f t="shared" ref="F13:F56" si="1">E13+D13</f>
        <v>46261</v>
      </c>
      <c r="G13" s="57"/>
      <c r="H13" s="60">
        <f t="shared" ref="H13:H56" si="2">D13*$C$9</f>
        <v>1200</v>
      </c>
      <c r="I13" s="61">
        <v>1.0</v>
      </c>
      <c r="J13" s="57" t="s">
        <v>47</v>
      </c>
      <c r="K13" s="57">
        <f t="shared" ref="K13:K56" si="3">E13-$C$4</f>
        <v>0</v>
      </c>
      <c r="L13" s="62" t="s">
        <v>326</v>
      </c>
    </row>
    <row r="14">
      <c r="A14" s="63" t="str">
        <f>Escopo_EAP!A7</f>
        <v>1.2.1</v>
      </c>
      <c r="B14" s="63" t="str">
        <f>TRIM(Escopo_EAP!C7)</f>
        <v>– Testes de decodificação (inteiros, strings, listas, dicionários)</v>
      </c>
      <c r="C14" s="64" t="s">
        <v>60</v>
      </c>
      <c r="D14" s="65">
        <f>IFERROR(Planning_Poker!J5,0)</f>
        <v>0.5</v>
      </c>
      <c r="E14" s="66">
        <f>$C$5</f>
        <v>46274</v>
      </c>
      <c r="F14" s="66">
        <f t="shared" si="1"/>
        <v>46274.5</v>
      </c>
      <c r="G14" s="64" t="s">
        <v>41</v>
      </c>
      <c r="H14" s="67">
        <f t="shared" si="2"/>
        <v>600</v>
      </c>
      <c r="I14" s="68">
        <v>0.0</v>
      </c>
      <c r="J14" s="64" t="s">
        <v>38</v>
      </c>
      <c r="K14" s="64">
        <f t="shared" si="3"/>
        <v>14</v>
      </c>
      <c r="L14" s="69" t="s">
        <v>327</v>
      </c>
    </row>
    <row r="15">
      <c r="A15" s="63" t="str">
        <f>Escopo_EAP!A8</f>
        <v>1.2.2</v>
      </c>
      <c r="B15" s="63" t="str">
        <f>TRIM(Escopo_EAP!C8)</f>
        <v>– Testes de codificação (dicionário → bencode)</v>
      </c>
      <c r="C15" s="64" t="s">
        <v>60</v>
      </c>
      <c r="D15" s="65">
        <f>IFERROR(Planning_Poker!J6,0)</f>
        <v>0.5</v>
      </c>
      <c r="E15" s="66">
        <f t="shared" ref="E15:E48" si="4">F14</f>
        <v>46274.5</v>
      </c>
      <c r="F15" s="66">
        <f t="shared" si="1"/>
        <v>46275</v>
      </c>
      <c r="G15" s="64" t="s">
        <v>74</v>
      </c>
      <c r="H15" s="67">
        <f t="shared" si="2"/>
        <v>600</v>
      </c>
      <c r="I15" s="68">
        <v>0.0</v>
      </c>
      <c r="J15" s="64" t="s">
        <v>38</v>
      </c>
      <c r="K15" s="64">
        <f t="shared" si="3"/>
        <v>14.5</v>
      </c>
      <c r="L15" s="69" t="s">
        <v>327</v>
      </c>
    </row>
    <row r="16">
      <c r="A16" s="63" t="str">
        <f>Escopo_EAP!A9</f>
        <v>1.2.3</v>
      </c>
      <c r="B16" s="63" t="str">
        <f>TRIM(Escopo_EAP!C9)</f>
        <v>– Testes de casos de borda</v>
      </c>
      <c r="C16" s="64" t="s">
        <v>60</v>
      </c>
      <c r="D16" s="65">
        <f>IFERROR(Planning_Poker!J7,0)</f>
        <v>0.5</v>
      </c>
      <c r="E16" s="66">
        <f t="shared" si="4"/>
        <v>46275</v>
      </c>
      <c r="F16" s="66">
        <f t="shared" si="1"/>
        <v>46275.5</v>
      </c>
      <c r="G16" s="64" t="s">
        <v>80</v>
      </c>
      <c r="H16" s="67">
        <f t="shared" si="2"/>
        <v>600</v>
      </c>
      <c r="I16" s="68">
        <v>0.0</v>
      </c>
      <c r="J16" s="64" t="s">
        <v>38</v>
      </c>
      <c r="K16" s="64">
        <f t="shared" si="3"/>
        <v>15</v>
      </c>
      <c r="L16" s="69" t="s">
        <v>327</v>
      </c>
    </row>
    <row r="17">
      <c r="A17" s="63" t="str">
        <f>Escopo_EAP!A11</f>
        <v>1.3.1</v>
      </c>
      <c r="B17" s="63" t="str">
        <f>TRIM(Escopo_EAP!C11)</f>
        <v>– Empacotamento/desempacotamento do Handshake</v>
      </c>
      <c r="C17" s="64" t="s">
        <v>60</v>
      </c>
      <c r="D17" s="65">
        <f>IFERROR(Planning_Poker!J8,0)</f>
        <v>1</v>
      </c>
      <c r="E17" s="66">
        <f t="shared" si="4"/>
        <v>46275.5</v>
      </c>
      <c r="F17" s="66">
        <f t="shared" si="1"/>
        <v>46276.5</v>
      </c>
      <c r="G17" s="64"/>
      <c r="H17" s="67">
        <f t="shared" si="2"/>
        <v>1200</v>
      </c>
      <c r="I17" s="68">
        <v>0.0</v>
      </c>
      <c r="J17" s="64" t="s">
        <v>38</v>
      </c>
      <c r="K17" s="64">
        <f t="shared" si="3"/>
        <v>15.5</v>
      </c>
      <c r="L17" s="69" t="s">
        <v>327</v>
      </c>
    </row>
    <row r="18">
      <c r="A18" s="63" t="str">
        <f>Escopo_EAP!A12</f>
        <v>1.3.2</v>
      </c>
      <c r="B18" s="63" t="str">
        <f>TRIM(Escopo_EAP!C12)</f>
        <v>– Empacotamento/desempacotamento de HAVE e BITFIELD</v>
      </c>
      <c r="C18" s="64" t="s">
        <v>60</v>
      </c>
      <c r="D18" s="65">
        <f>IFERROR(Planning_Poker!J9,0)</f>
        <v>1</v>
      </c>
      <c r="E18" s="66">
        <f t="shared" si="4"/>
        <v>46276.5</v>
      </c>
      <c r="F18" s="66">
        <f t="shared" si="1"/>
        <v>46277.5</v>
      </c>
      <c r="G18" s="64" t="s">
        <v>94</v>
      </c>
      <c r="H18" s="67">
        <f t="shared" si="2"/>
        <v>1200</v>
      </c>
      <c r="I18" s="68">
        <v>0.0</v>
      </c>
      <c r="J18" s="64" t="s">
        <v>38</v>
      </c>
      <c r="K18" s="64">
        <f t="shared" si="3"/>
        <v>16.5</v>
      </c>
      <c r="L18" s="69" t="s">
        <v>327</v>
      </c>
    </row>
    <row r="19">
      <c r="A19" s="63" t="str">
        <f>Escopo_EAP!A13</f>
        <v>1.3.3</v>
      </c>
      <c r="B19" s="63" t="str">
        <f>TRIM(Escopo_EAP!C13)</f>
        <v>– Empacotamento/desempacotamento de REQUEST e PIECE</v>
      </c>
      <c r="C19" s="64" t="s">
        <v>60</v>
      </c>
      <c r="D19" s="65">
        <f>IFERROR(Planning_Poker!J10,0)</f>
        <v>1</v>
      </c>
      <c r="E19" s="66">
        <f t="shared" si="4"/>
        <v>46277.5</v>
      </c>
      <c r="F19" s="66">
        <f t="shared" si="1"/>
        <v>46278.5</v>
      </c>
      <c r="G19" s="64" t="s">
        <v>100</v>
      </c>
      <c r="H19" s="67">
        <f t="shared" si="2"/>
        <v>1200</v>
      </c>
      <c r="I19" s="68">
        <v>0.0</v>
      </c>
      <c r="J19" s="64" t="s">
        <v>38</v>
      </c>
      <c r="K19" s="64">
        <f t="shared" si="3"/>
        <v>17.5</v>
      </c>
      <c r="L19" s="69" t="s">
        <v>327</v>
      </c>
    </row>
    <row r="20">
      <c r="A20" s="63" t="str">
        <f>Escopo_EAP!A16</f>
        <v>2.1.1</v>
      </c>
      <c r="B20" s="63" t="str">
        <f>TRIM(Escopo_EAP!C16)</f>
        <v>– Definir mecanismo de autorização (lista de peer_id permitidos)</v>
      </c>
      <c r="C20" s="64" t="s">
        <v>50</v>
      </c>
      <c r="D20" s="65">
        <f>IFERROR(Planning_Poker!J11,0)</f>
        <v>0.5</v>
      </c>
      <c r="E20" s="66">
        <f t="shared" si="4"/>
        <v>46278.5</v>
      </c>
      <c r="F20" s="66">
        <f t="shared" si="1"/>
        <v>46279</v>
      </c>
      <c r="G20" s="64" t="s">
        <v>41</v>
      </c>
      <c r="H20" s="67">
        <f t="shared" si="2"/>
        <v>600</v>
      </c>
      <c r="I20" s="68">
        <v>0.0</v>
      </c>
      <c r="J20" s="64" t="s">
        <v>38</v>
      </c>
      <c r="K20" s="64">
        <f t="shared" si="3"/>
        <v>18.5</v>
      </c>
      <c r="L20" s="69" t="s">
        <v>327</v>
      </c>
    </row>
    <row r="21" ht="15.75" customHeight="1">
      <c r="A21" s="63" t="str">
        <f>Escopo_EAP!A17</f>
        <v>2.1.2</v>
      </c>
      <c r="B21" s="63" t="str">
        <f>TRIM(Escopo_EAP!C17)</f>
        <v>– Implementar verificação de autorização no Tracker</v>
      </c>
      <c r="C21" s="64" t="s">
        <v>50</v>
      </c>
      <c r="D21" s="65">
        <f>IFERROR(Planning_Poker!J12,0)</f>
        <v>1</v>
      </c>
      <c r="E21" s="66">
        <f t="shared" si="4"/>
        <v>46279</v>
      </c>
      <c r="F21" s="66">
        <f t="shared" si="1"/>
        <v>46280</v>
      </c>
      <c r="G21" s="64" t="s">
        <v>114</v>
      </c>
      <c r="H21" s="67">
        <f t="shared" si="2"/>
        <v>1200</v>
      </c>
      <c r="I21" s="68">
        <v>0.0</v>
      </c>
      <c r="J21" s="64" t="s">
        <v>38</v>
      </c>
      <c r="K21" s="64">
        <f t="shared" si="3"/>
        <v>19</v>
      </c>
      <c r="L21" s="69" t="s">
        <v>327</v>
      </c>
    </row>
    <row r="22" ht="15.75" customHeight="1">
      <c r="A22" s="63" t="str">
        <f>Escopo_EAP!A18</f>
        <v>2.1.3</v>
      </c>
      <c r="B22" s="63" t="str">
        <f>TRIM(Escopo_EAP!C18)</f>
        <v>– Testes de rejeição de cliente não autorizado</v>
      </c>
      <c r="C22" s="64" t="s">
        <v>50</v>
      </c>
      <c r="D22" s="65">
        <f>IFERROR(Planning_Poker!J13,0)</f>
        <v>0.5</v>
      </c>
      <c r="E22" s="66">
        <f t="shared" si="4"/>
        <v>46280</v>
      </c>
      <c r="F22" s="66">
        <f t="shared" si="1"/>
        <v>46280.5</v>
      </c>
      <c r="G22" s="64" t="s">
        <v>119</v>
      </c>
      <c r="H22" s="67">
        <f t="shared" si="2"/>
        <v>600</v>
      </c>
      <c r="I22" s="68">
        <v>0.0</v>
      </c>
      <c r="J22" s="64" t="s">
        <v>38</v>
      </c>
      <c r="K22" s="64">
        <f t="shared" si="3"/>
        <v>20</v>
      </c>
      <c r="L22" s="69" t="s">
        <v>327</v>
      </c>
    </row>
    <row r="23" ht="15.75" customHeight="1">
      <c r="A23" s="63" t="str">
        <f>Escopo_EAP!A20</f>
        <v>2.2.1</v>
      </c>
      <c r="B23" s="63" t="str">
        <f>TRIM(Escopo_EAP!C20)</f>
        <v>– Montagem da query string (info_hash, peer_id, port, compact)</v>
      </c>
      <c r="C23" s="64" t="s">
        <v>50</v>
      </c>
      <c r="D23" s="65">
        <f>IFERROR(Planning_Poker!J14,0)</f>
        <v>1</v>
      </c>
      <c r="E23" s="66">
        <f t="shared" si="4"/>
        <v>46280.5</v>
      </c>
      <c r="F23" s="66">
        <f t="shared" si="1"/>
        <v>46281.5</v>
      </c>
      <c r="G23" s="64" t="s">
        <v>121</v>
      </c>
      <c r="H23" s="67">
        <f t="shared" si="2"/>
        <v>1200</v>
      </c>
      <c r="I23" s="68">
        <v>0.0</v>
      </c>
      <c r="J23" s="64" t="s">
        <v>38</v>
      </c>
      <c r="K23" s="64">
        <f t="shared" si="3"/>
        <v>20.5</v>
      </c>
      <c r="L23" s="69" t="s">
        <v>327</v>
      </c>
    </row>
    <row r="24" ht="15.75" customHeight="1">
      <c r="A24" s="63" t="str">
        <f>Escopo_EAP!A21</f>
        <v>2.2.2</v>
      </c>
      <c r="B24" s="63" t="str">
        <f>TRIM(Escopo_EAP!C21)</f>
        <v>– Cálculo de uploaded/downloaded/left</v>
      </c>
      <c r="C24" s="64" t="s">
        <v>50</v>
      </c>
      <c r="D24" s="65">
        <f>IFERROR(Planning_Poker!J15,0)</f>
        <v>0.5</v>
      </c>
      <c r="E24" s="66">
        <f t="shared" si="4"/>
        <v>46281.5</v>
      </c>
      <c r="F24" s="66">
        <f t="shared" si="1"/>
        <v>46282</v>
      </c>
      <c r="G24" s="64" t="s">
        <v>127</v>
      </c>
      <c r="H24" s="67">
        <f t="shared" si="2"/>
        <v>600</v>
      </c>
      <c r="I24" s="68">
        <v>0.0</v>
      </c>
      <c r="J24" s="64" t="s">
        <v>38</v>
      </c>
      <c r="K24" s="64">
        <f t="shared" si="3"/>
        <v>21.5</v>
      </c>
      <c r="L24" s="69" t="s">
        <v>327</v>
      </c>
    </row>
    <row r="25" ht="15.75" customHeight="1">
      <c r="A25" s="63" t="str">
        <f>Escopo_EAP!A22</f>
        <v>2.2.3</v>
      </c>
      <c r="B25" s="63" t="str">
        <f>TRIM(Escopo_EAP!C22)</f>
        <v>– Testes do announce request</v>
      </c>
      <c r="C25" s="64" t="s">
        <v>50</v>
      </c>
      <c r="D25" s="65">
        <f>IFERROR(Planning_Poker!J16,0)</f>
        <v>0.5</v>
      </c>
      <c r="E25" s="66">
        <f t="shared" si="4"/>
        <v>46282</v>
      </c>
      <c r="F25" s="66">
        <f t="shared" si="1"/>
        <v>46282.5</v>
      </c>
      <c r="G25" s="64" t="s">
        <v>129</v>
      </c>
      <c r="H25" s="67">
        <f t="shared" si="2"/>
        <v>600</v>
      </c>
      <c r="I25" s="68">
        <v>0.0</v>
      </c>
      <c r="J25" s="64" t="s">
        <v>38</v>
      </c>
      <c r="K25" s="64">
        <f t="shared" si="3"/>
        <v>22</v>
      </c>
      <c r="L25" s="69" t="s">
        <v>327</v>
      </c>
    </row>
    <row r="26" ht="15.75" customHeight="1">
      <c r="A26" s="63" t="str">
        <f>Escopo_EAP!A24</f>
        <v>2.3.1</v>
      </c>
      <c r="B26" s="63" t="str">
        <f>TRIM(Escopo_EAP!C24)</f>
        <v>– Tabela info_hash → lista de peers no Tracker</v>
      </c>
      <c r="C26" s="64" t="s">
        <v>50</v>
      </c>
      <c r="D26" s="65">
        <f>IFERROR(Planning_Poker!J17,0)</f>
        <v>1</v>
      </c>
      <c r="E26" s="66">
        <f t="shared" si="4"/>
        <v>46282.5</v>
      </c>
      <c r="F26" s="66">
        <f t="shared" si="1"/>
        <v>46283.5</v>
      </c>
      <c r="G26" s="64" t="s">
        <v>121</v>
      </c>
      <c r="H26" s="67">
        <f t="shared" si="2"/>
        <v>1200</v>
      </c>
      <c r="I26" s="68">
        <v>0.0</v>
      </c>
      <c r="J26" s="64" t="s">
        <v>38</v>
      </c>
      <c r="K26" s="64">
        <f t="shared" si="3"/>
        <v>22.5</v>
      </c>
      <c r="L26" s="69" t="s">
        <v>327</v>
      </c>
    </row>
    <row r="27" ht="15.75" customHeight="1">
      <c r="A27" s="63" t="str">
        <f>Escopo_EAP!A25</f>
        <v>2.3.2</v>
      </c>
      <c r="B27" s="63" t="str">
        <f>TRIM(Escopo_EAP!C25)</f>
        <v>– Formato compacto de peers (compact=1)</v>
      </c>
      <c r="C27" s="64" t="s">
        <v>50</v>
      </c>
      <c r="D27" s="65">
        <f>IFERROR(Planning_Poker!J18,0)</f>
        <v>1</v>
      </c>
      <c r="E27" s="66">
        <f t="shared" si="4"/>
        <v>46283.5</v>
      </c>
      <c r="F27" s="66">
        <f t="shared" si="1"/>
        <v>46284.5</v>
      </c>
      <c r="G27" s="64" t="s">
        <v>136</v>
      </c>
      <c r="H27" s="67">
        <f t="shared" si="2"/>
        <v>1200</v>
      </c>
      <c r="I27" s="68">
        <v>0.0</v>
      </c>
      <c r="J27" s="64" t="s">
        <v>38</v>
      </c>
      <c r="K27" s="64">
        <f t="shared" si="3"/>
        <v>23.5</v>
      </c>
      <c r="L27" s="69" t="s">
        <v>327</v>
      </c>
    </row>
    <row r="28" ht="15.75" customHeight="1">
      <c r="A28" s="63" t="str">
        <f>Escopo_EAP!A26</f>
        <v>2.3.3</v>
      </c>
      <c r="B28" s="63" t="str">
        <f>TRIM(Escopo_EAP!C26)</f>
        <v>– Contadores complete/incomplete</v>
      </c>
      <c r="C28" s="64" t="s">
        <v>50</v>
      </c>
      <c r="D28" s="65">
        <f>IFERROR(Planning_Poker!J19,0)</f>
        <v>0.5</v>
      </c>
      <c r="E28" s="66">
        <f t="shared" si="4"/>
        <v>46284.5</v>
      </c>
      <c r="F28" s="66">
        <f t="shared" si="1"/>
        <v>46285</v>
      </c>
      <c r="G28" s="64" t="s">
        <v>138</v>
      </c>
      <c r="H28" s="67">
        <f t="shared" si="2"/>
        <v>600</v>
      </c>
      <c r="I28" s="68">
        <v>0.0</v>
      </c>
      <c r="J28" s="64" t="s">
        <v>38</v>
      </c>
      <c r="K28" s="64">
        <f t="shared" si="3"/>
        <v>24.5</v>
      </c>
      <c r="L28" s="69" t="s">
        <v>327</v>
      </c>
    </row>
    <row r="29" ht="15.75" customHeight="1">
      <c r="A29" s="63" t="str">
        <f>Escopo_EAP!A28</f>
        <v>2.4.1</v>
      </c>
      <c r="B29" s="63" t="str">
        <f>TRIM(Escopo_EAP!C28)</f>
        <v>– Parsing da resposta Bencode</v>
      </c>
      <c r="C29" s="64" t="s">
        <v>50</v>
      </c>
      <c r="D29" s="65">
        <f>IFERROR(Planning_Poker!J20,0)</f>
        <v>0.5</v>
      </c>
      <c r="E29" s="66">
        <f t="shared" si="4"/>
        <v>46285</v>
      </c>
      <c r="F29" s="66">
        <f t="shared" si="1"/>
        <v>46285.5</v>
      </c>
      <c r="G29" s="64" t="s">
        <v>328</v>
      </c>
      <c r="H29" s="67">
        <f t="shared" si="2"/>
        <v>600</v>
      </c>
      <c r="I29" s="68">
        <v>0.0</v>
      </c>
      <c r="J29" s="64" t="s">
        <v>38</v>
      </c>
      <c r="K29" s="64">
        <f t="shared" si="3"/>
        <v>25</v>
      </c>
      <c r="L29" s="69" t="s">
        <v>327</v>
      </c>
    </row>
    <row r="30" ht="15.75" customHeight="1">
      <c r="A30" s="63" t="str">
        <f>Escopo_EAP!A29</f>
        <v>2.4.2</v>
      </c>
      <c r="B30" s="63" t="str">
        <f>TRIM(Escopo_EAP!C29)</f>
        <v>– Extração e tratamento da lista de peers</v>
      </c>
      <c r="C30" s="64" t="s">
        <v>50</v>
      </c>
      <c r="D30" s="65">
        <f>IFERROR(Planning_Poker!J21,0)</f>
        <v>0.5</v>
      </c>
      <c r="E30" s="66">
        <f t="shared" si="4"/>
        <v>46285.5</v>
      </c>
      <c r="F30" s="66">
        <f t="shared" si="1"/>
        <v>46286</v>
      </c>
      <c r="G30" s="64" t="s">
        <v>145</v>
      </c>
      <c r="H30" s="67">
        <f t="shared" si="2"/>
        <v>600</v>
      </c>
      <c r="I30" s="68">
        <v>0.0</v>
      </c>
      <c r="J30" s="64" t="s">
        <v>38</v>
      </c>
      <c r="K30" s="64">
        <f t="shared" si="3"/>
        <v>25.5</v>
      </c>
      <c r="L30" s="69" t="s">
        <v>327</v>
      </c>
    </row>
    <row r="31" ht="15.75" customHeight="1">
      <c r="A31" s="63" t="str">
        <f>Escopo_EAP!A30</f>
        <v>2.4.3</v>
      </c>
      <c r="B31" s="63" t="str">
        <f>TRIM(Escopo_EAP!C30)</f>
        <v>– Tratamento de failure reason</v>
      </c>
      <c r="C31" s="64" t="s">
        <v>50</v>
      </c>
      <c r="D31" s="65">
        <f>IFERROR(Planning_Poker!J22,0)</f>
        <v>0.5</v>
      </c>
      <c r="E31" s="66">
        <f t="shared" si="4"/>
        <v>46286</v>
      </c>
      <c r="F31" s="66">
        <f t="shared" si="1"/>
        <v>46286.5</v>
      </c>
      <c r="G31" s="64" t="s">
        <v>147</v>
      </c>
      <c r="H31" s="67">
        <f t="shared" si="2"/>
        <v>600</v>
      </c>
      <c r="I31" s="68">
        <v>0.0</v>
      </c>
      <c r="J31" s="64" t="s">
        <v>38</v>
      </c>
      <c r="K31" s="64">
        <f t="shared" si="3"/>
        <v>26</v>
      </c>
      <c r="L31" s="69" t="s">
        <v>327</v>
      </c>
    </row>
    <row r="32" ht="15.75" customHeight="1">
      <c r="A32" s="63" t="str">
        <f>Escopo_EAP!A33</f>
        <v>3.1.1</v>
      </c>
      <c r="B32" s="63" t="str">
        <f>TRIM(Escopo_EAP!C33)</f>
        <v>– Envio do handshake</v>
      </c>
      <c r="C32" s="64" t="s">
        <v>96</v>
      </c>
      <c r="D32" s="65">
        <f>IFERROR(Planning_Poker!J23,0)</f>
        <v>1</v>
      </c>
      <c r="E32" s="66">
        <f t="shared" si="4"/>
        <v>46286.5</v>
      </c>
      <c r="F32" s="66">
        <f t="shared" si="1"/>
        <v>46287.5</v>
      </c>
      <c r="G32" s="64" t="s">
        <v>149</v>
      </c>
      <c r="H32" s="67">
        <f t="shared" si="2"/>
        <v>1200</v>
      </c>
      <c r="I32" s="68">
        <v>0.0</v>
      </c>
      <c r="J32" s="64" t="s">
        <v>38</v>
      </c>
      <c r="K32" s="64">
        <f t="shared" si="3"/>
        <v>26.5</v>
      </c>
      <c r="L32" s="69" t="s">
        <v>327</v>
      </c>
    </row>
    <row r="33" ht="15.75" customHeight="1">
      <c r="A33" s="63" t="str">
        <f>Escopo_EAP!A34</f>
        <v>3.1.2</v>
      </c>
      <c r="B33" s="63" t="str">
        <f>TRIM(Escopo_EAP!C34)</f>
        <v>– Validação do info_hash recebido</v>
      </c>
      <c r="C33" s="64" t="s">
        <v>96</v>
      </c>
      <c r="D33" s="65">
        <f>IFERROR(Planning_Poker!J24,0)</f>
        <v>0.5</v>
      </c>
      <c r="E33" s="66">
        <f t="shared" si="4"/>
        <v>46287.5</v>
      </c>
      <c r="F33" s="66">
        <f t="shared" si="1"/>
        <v>46288</v>
      </c>
      <c r="G33" s="64" t="s">
        <v>157</v>
      </c>
      <c r="H33" s="67">
        <f t="shared" si="2"/>
        <v>600</v>
      </c>
      <c r="I33" s="68">
        <v>0.0</v>
      </c>
      <c r="J33" s="64" t="s">
        <v>38</v>
      </c>
      <c r="K33" s="64">
        <f t="shared" si="3"/>
        <v>27.5</v>
      </c>
      <c r="L33" s="69" t="s">
        <v>327</v>
      </c>
    </row>
    <row r="34" ht="15.75" customHeight="1">
      <c r="A34" s="63" t="str">
        <f>Escopo_EAP!A36</f>
        <v>3.2.1</v>
      </c>
      <c r="B34" s="63" t="str">
        <f>TRIM(Escopo_EAP!C36)</f>
        <v>– Geração do bitfield local</v>
      </c>
      <c r="C34" s="64" t="s">
        <v>96</v>
      </c>
      <c r="D34" s="65">
        <f>IFERROR(Planning_Poker!J25,0)</f>
        <v>1</v>
      </c>
      <c r="E34" s="66">
        <f t="shared" si="4"/>
        <v>46288</v>
      </c>
      <c r="F34" s="66">
        <f t="shared" si="1"/>
        <v>46289</v>
      </c>
      <c r="G34" s="64" t="s">
        <v>159</v>
      </c>
      <c r="H34" s="67">
        <f t="shared" si="2"/>
        <v>1200</v>
      </c>
      <c r="I34" s="68">
        <v>0.0</v>
      </c>
      <c r="J34" s="64" t="s">
        <v>38</v>
      </c>
      <c r="K34" s="64">
        <f t="shared" si="3"/>
        <v>28</v>
      </c>
      <c r="L34" s="69" t="s">
        <v>327</v>
      </c>
    </row>
    <row r="35" ht="15.75" customHeight="1">
      <c r="A35" s="63" t="str">
        <f>Escopo_EAP!A37</f>
        <v>3.2.2</v>
      </c>
      <c r="B35" s="63" t="str">
        <f>TRIM(Escopo_EAP!C37)</f>
        <v>– Leitura do bitfield remoto</v>
      </c>
      <c r="C35" s="64" t="s">
        <v>96</v>
      </c>
      <c r="D35" s="65">
        <f>IFERROR(Planning_Poker!J26,0)</f>
        <v>0.5</v>
      </c>
      <c r="E35" s="66">
        <f t="shared" si="4"/>
        <v>46289</v>
      </c>
      <c r="F35" s="66">
        <f t="shared" si="1"/>
        <v>46289.5</v>
      </c>
      <c r="G35" s="64" t="s">
        <v>164</v>
      </c>
      <c r="H35" s="67">
        <f t="shared" si="2"/>
        <v>600</v>
      </c>
      <c r="I35" s="68">
        <v>0.0</v>
      </c>
      <c r="J35" s="64" t="s">
        <v>38</v>
      </c>
      <c r="K35" s="64">
        <f t="shared" si="3"/>
        <v>29</v>
      </c>
      <c r="L35" s="69" t="s">
        <v>327</v>
      </c>
    </row>
    <row r="36" ht="15.75" customHeight="1">
      <c r="A36" s="63" t="str">
        <f>Escopo_EAP!A39</f>
        <v>3.3.1</v>
      </c>
      <c r="B36" s="63" t="str">
        <f>TRIM(Escopo_EAP!C39)</f>
        <v>– Envio de INTERESTED</v>
      </c>
      <c r="C36" s="64" t="s">
        <v>96</v>
      </c>
      <c r="D36" s="65">
        <f>IFERROR(Planning_Poker!J27,0)</f>
        <v>0.5</v>
      </c>
      <c r="E36" s="66">
        <f t="shared" si="4"/>
        <v>46289.5</v>
      </c>
      <c r="F36" s="66">
        <f t="shared" si="1"/>
        <v>46290</v>
      </c>
      <c r="G36" s="64" t="s">
        <v>166</v>
      </c>
      <c r="H36" s="67">
        <f t="shared" si="2"/>
        <v>600</v>
      </c>
      <c r="I36" s="68">
        <v>0.0</v>
      </c>
      <c r="J36" s="64" t="s">
        <v>38</v>
      </c>
      <c r="K36" s="64">
        <f t="shared" si="3"/>
        <v>29.5</v>
      </c>
      <c r="L36" s="69" t="s">
        <v>327</v>
      </c>
    </row>
    <row r="37" ht="15.75" customHeight="1">
      <c r="A37" s="63" t="str">
        <f>Escopo_EAP!A40</f>
        <v>3.3.2</v>
      </c>
      <c r="B37" s="63" t="str">
        <f>TRIM(Escopo_EAP!C40)</f>
        <v>– Lógica de UNCHOKE (liberação de banda)</v>
      </c>
      <c r="C37" s="64" t="s">
        <v>96</v>
      </c>
      <c r="D37" s="65">
        <f>IFERROR(Planning_Poker!J28,0)</f>
        <v>1</v>
      </c>
      <c r="E37" s="66">
        <f t="shared" si="4"/>
        <v>46290</v>
      </c>
      <c r="F37" s="66">
        <f t="shared" si="1"/>
        <v>46291</v>
      </c>
      <c r="G37" s="64" t="s">
        <v>171</v>
      </c>
      <c r="H37" s="67">
        <f t="shared" si="2"/>
        <v>1200</v>
      </c>
      <c r="I37" s="68">
        <v>0.0</v>
      </c>
      <c r="J37" s="64" t="s">
        <v>38</v>
      </c>
      <c r="K37" s="64">
        <f t="shared" si="3"/>
        <v>30</v>
      </c>
      <c r="L37" s="69" t="s">
        <v>327</v>
      </c>
    </row>
    <row r="38" ht="15.75" customHeight="1">
      <c r="A38" s="63" t="str">
        <f>Escopo_EAP!A42</f>
        <v>3.4.1</v>
      </c>
      <c r="B38" s="63" t="str">
        <f>TRIM(Escopo_EAP!C42)</f>
        <v>– Envio de REQUEST por bloco (16 KiB)</v>
      </c>
      <c r="C38" s="64" t="s">
        <v>96</v>
      </c>
      <c r="D38" s="65">
        <f>IFERROR(Planning_Poker!J29,0)</f>
        <v>1</v>
      </c>
      <c r="E38" s="66">
        <f t="shared" si="4"/>
        <v>46291</v>
      </c>
      <c r="F38" s="66">
        <f t="shared" si="1"/>
        <v>46292</v>
      </c>
      <c r="G38" s="64" t="s">
        <v>173</v>
      </c>
      <c r="H38" s="67">
        <f t="shared" si="2"/>
        <v>1200</v>
      </c>
      <c r="I38" s="68">
        <v>0.0</v>
      </c>
      <c r="J38" s="64" t="s">
        <v>38</v>
      </c>
      <c r="K38" s="64">
        <f t="shared" si="3"/>
        <v>31</v>
      </c>
      <c r="L38" s="69" t="s">
        <v>327</v>
      </c>
    </row>
    <row r="39" ht="15.75" customHeight="1">
      <c r="A39" s="63" t="str">
        <f>Escopo_EAP!A43</f>
        <v>3.4.2</v>
      </c>
      <c r="B39" s="63" t="str">
        <f>TRIM(Escopo_EAP!C43)</f>
        <v>– Recebimento e buffer de PIECE</v>
      </c>
      <c r="C39" s="64" t="s">
        <v>96</v>
      </c>
      <c r="D39" s="65">
        <f>IFERROR(Planning_Poker!J30,0)</f>
        <v>1</v>
      </c>
      <c r="E39" s="66">
        <f t="shared" si="4"/>
        <v>46292</v>
      </c>
      <c r="F39" s="66">
        <f t="shared" si="1"/>
        <v>46293</v>
      </c>
      <c r="G39" s="64" t="s">
        <v>178</v>
      </c>
      <c r="H39" s="67">
        <f t="shared" si="2"/>
        <v>1200</v>
      </c>
      <c r="I39" s="68">
        <v>0.0</v>
      </c>
      <c r="J39" s="64" t="s">
        <v>38</v>
      </c>
      <c r="K39" s="64">
        <f t="shared" si="3"/>
        <v>32</v>
      </c>
      <c r="L39" s="69" t="s">
        <v>327</v>
      </c>
    </row>
    <row r="40" ht="15.75" customHeight="1">
      <c r="A40" s="63" t="str">
        <f>Escopo_EAP!A44</f>
        <v>3.4.3</v>
      </c>
      <c r="B40" s="63" t="str">
        <f>TRIM(Escopo_EAP!C44)</f>
        <v>– Controle do loop até completar a peça</v>
      </c>
      <c r="C40" s="64" t="s">
        <v>96</v>
      </c>
      <c r="D40" s="65">
        <f>IFERROR(Planning_Poker!J31,0)</f>
        <v>1</v>
      </c>
      <c r="E40" s="66">
        <f t="shared" si="4"/>
        <v>46293</v>
      </c>
      <c r="F40" s="66">
        <f t="shared" si="1"/>
        <v>46294</v>
      </c>
      <c r="G40" s="64" t="s">
        <v>180</v>
      </c>
      <c r="H40" s="67">
        <f t="shared" si="2"/>
        <v>1200</v>
      </c>
      <c r="I40" s="68">
        <v>0.0</v>
      </c>
      <c r="J40" s="64" t="s">
        <v>38</v>
      </c>
      <c r="K40" s="64">
        <f t="shared" si="3"/>
        <v>33</v>
      </c>
      <c r="L40" s="69" t="s">
        <v>327</v>
      </c>
    </row>
    <row r="41" ht="15.75" customHeight="1">
      <c r="A41" s="63" t="str">
        <f>Escopo_EAP!A46</f>
        <v>3.5.1</v>
      </c>
      <c r="B41" s="63" t="str">
        <f>TRIM(Escopo_EAP!C46)</f>
        <v>– Validação de peça completa (hash)</v>
      </c>
      <c r="C41" s="64" t="s">
        <v>96</v>
      </c>
      <c r="D41" s="65">
        <f>IFERROR(Planning_Poker!J32,0)</f>
        <v>1</v>
      </c>
      <c r="E41" s="66">
        <f t="shared" si="4"/>
        <v>46294</v>
      </c>
      <c r="F41" s="66">
        <f t="shared" si="1"/>
        <v>46295</v>
      </c>
      <c r="G41" s="64" t="s">
        <v>182</v>
      </c>
      <c r="H41" s="67">
        <f t="shared" si="2"/>
        <v>1200</v>
      </c>
      <c r="I41" s="68">
        <v>0.0</v>
      </c>
      <c r="J41" s="64" t="s">
        <v>38</v>
      </c>
      <c r="K41" s="64">
        <f t="shared" si="3"/>
        <v>34</v>
      </c>
      <c r="L41" s="69" t="s">
        <v>327</v>
      </c>
    </row>
    <row r="42" ht="15.75" customHeight="1">
      <c r="A42" s="63" t="str">
        <f>Escopo_EAP!A47</f>
        <v>3.5.2</v>
      </c>
      <c r="B42" s="63" t="str">
        <f>TRIM(Escopo_EAP!C47)</f>
        <v>– Broadcast de HAVE aos peers</v>
      </c>
      <c r="C42" s="64" t="s">
        <v>96</v>
      </c>
      <c r="D42" s="65">
        <f>IFERROR(Planning_Poker!J33,0)</f>
        <v>0.5</v>
      </c>
      <c r="E42" s="66">
        <f t="shared" si="4"/>
        <v>46295</v>
      </c>
      <c r="F42" s="66">
        <f t="shared" si="1"/>
        <v>46295.5</v>
      </c>
      <c r="G42" s="64" t="s">
        <v>187</v>
      </c>
      <c r="H42" s="67">
        <f t="shared" si="2"/>
        <v>600</v>
      </c>
      <c r="I42" s="68">
        <v>0.0</v>
      </c>
      <c r="J42" s="64" t="s">
        <v>38</v>
      </c>
      <c r="K42" s="64">
        <f t="shared" si="3"/>
        <v>35</v>
      </c>
      <c r="L42" s="69" t="s">
        <v>327</v>
      </c>
    </row>
    <row r="43" ht="15.75" customHeight="1">
      <c r="A43" s="63" t="str">
        <f>Escopo_EAP!A50</f>
        <v>4.1.1</v>
      </c>
      <c r="B43" s="63" t="str">
        <f>TRIM(Escopo_EAP!C50)</f>
        <v>– Abertura e manutenção da conexão TCP</v>
      </c>
      <c r="C43" s="64" t="s">
        <v>60</v>
      </c>
      <c r="D43" s="65">
        <f>IFERROR(Planning_Poker!J34,0)</f>
        <v>1.5</v>
      </c>
      <c r="E43" s="66">
        <f t="shared" si="4"/>
        <v>46295.5</v>
      </c>
      <c r="F43" s="66">
        <f t="shared" si="1"/>
        <v>46297</v>
      </c>
      <c r="G43" s="64" t="s">
        <v>182</v>
      </c>
      <c r="H43" s="67">
        <f t="shared" si="2"/>
        <v>1800</v>
      </c>
      <c r="I43" s="68">
        <v>0.0</v>
      </c>
      <c r="J43" s="64" t="s">
        <v>38</v>
      </c>
      <c r="K43" s="64">
        <f t="shared" si="3"/>
        <v>35.5</v>
      </c>
      <c r="L43" s="69" t="s">
        <v>327</v>
      </c>
    </row>
    <row r="44" ht="15.75" customHeight="1">
      <c r="A44" s="63" t="str">
        <f>Escopo_EAP!A51</f>
        <v>4.1.2</v>
      </c>
      <c r="B44" s="63" t="str">
        <f>TRIM(Escopo_EAP!C51)</f>
        <v>– Tratamento de timeout/reconexão</v>
      </c>
      <c r="C44" s="64" t="s">
        <v>60</v>
      </c>
      <c r="D44" s="65">
        <f>IFERROR(Planning_Poker!J35,0)</f>
        <v>1</v>
      </c>
      <c r="E44" s="66">
        <f t="shared" si="4"/>
        <v>46297</v>
      </c>
      <c r="F44" s="66">
        <f t="shared" si="1"/>
        <v>46298</v>
      </c>
      <c r="G44" s="64" t="s">
        <v>197</v>
      </c>
      <c r="H44" s="67">
        <f t="shared" si="2"/>
        <v>1200</v>
      </c>
      <c r="I44" s="68">
        <v>0.0</v>
      </c>
      <c r="J44" s="64" t="s">
        <v>38</v>
      </c>
      <c r="K44" s="64">
        <f t="shared" si="3"/>
        <v>37</v>
      </c>
      <c r="L44" s="69" t="s">
        <v>327</v>
      </c>
    </row>
    <row r="45" ht="15.75" customHeight="1">
      <c r="A45" s="63" t="str">
        <f>Escopo_EAP!A53</f>
        <v>4.2.1</v>
      </c>
      <c r="B45" s="63" t="str">
        <f>TRIM(Escopo_EAP!C53)</f>
        <v>– Buffer de peça em memória</v>
      </c>
      <c r="C45" s="64" t="s">
        <v>60</v>
      </c>
      <c r="D45" s="65">
        <f>IFERROR(Planning_Poker!J36,0)</f>
        <v>1</v>
      </c>
      <c r="E45" s="66">
        <f t="shared" si="4"/>
        <v>46298</v>
      </c>
      <c r="F45" s="66">
        <f t="shared" si="1"/>
        <v>46299</v>
      </c>
      <c r="G45" s="64" t="s">
        <v>199</v>
      </c>
      <c r="H45" s="67">
        <f t="shared" si="2"/>
        <v>1200</v>
      </c>
      <c r="I45" s="68">
        <v>0.0</v>
      </c>
      <c r="J45" s="64" t="s">
        <v>38</v>
      </c>
      <c r="K45" s="64">
        <f t="shared" si="3"/>
        <v>38</v>
      </c>
      <c r="L45" s="69" t="s">
        <v>327</v>
      </c>
    </row>
    <row r="46" ht="15.75" customHeight="1">
      <c r="A46" s="63" t="str">
        <f>Escopo_EAP!A54</f>
        <v>4.2.2</v>
      </c>
      <c r="B46" s="63" t="str">
        <f>TRIM(Escopo_EAP!C54)</f>
        <v>– Escrita da peça validada no arquivo final</v>
      </c>
      <c r="C46" s="64" t="s">
        <v>60</v>
      </c>
      <c r="D46" s="65">
        <f>IFERROR(Planning_Poker!J37,0)</f>
        <v>1</v>
      </c>
      <c r="E46" s="66">
        <f t="shared" si="4"/>
        <v>46299</v>
      </c>
      <c r="F46" s="66">
        <f t="shared" si="1"/>
        <v>46300</v>
      </c>
      <c r="G46" s="64" t="s">
        <v>204</v>
      </c>
      <c r="H46" s="67">
        <f t="shared" si="2"/>
        <v>1200</v>
      </c>
      <c r="I46" s="68">
        <v>0.0</v>
      </c>
      <c r="J46" s="64" t="s">
        <v>38</v>
      </c>
      <c r="K46" s="64">
        <f t="shared" si="3"/>
        <v>39</v>
      </c>
      <c r="L46" s="69" t="s">
        <v>327</v>
      </c>
    </row>
    <row r="47" ht="15.75" customHeight="1">
      <c r="A47" s="63" t="str">
        <f>Escopo_EAP!A56</f>
        <v>4.3.1</v>
      </c>
      <c r="B47" s="63" t="str">
        <f>TRIM(Escopo_EAP!C56)</f>
        <v>– Cálculo de hash SHA-1 por peça</v>
      </c>
      <c r="C47" s="64" t="s">
        <v>60</v>
      </c>
      <c r="D47" s="65">
        <f>IFERROR(Planning_Poker!J38,0)</f>
        <v>0.5</v>
      </c>
      <c r="E47" s="66">
        <f t="shared" si="4"/>
        <v>46300</v>
      </c>
      <c r="F47" s="66">
        <f t="shared" si="1"/>
        <v>46300.5</v>
      </c>
      <c r="G47" s="64" t="s">
        <v>206</v>
      </c>
      <c r="H47" s="67">
        <f t="shared" si="2"/>
        <v>600</v>
      </c>
      <c r="I47" s="68">
        <v>0.0</v>
      </c>
      <c r="J47" s="64" t="s">
        <v>38</v>
      </c>
      <c r="K47" s="64">
        <f t="shared" si="3"/>
        <v>40</v>
      </c>
      <c r="L47" s="69" t="s">
        <v>327</v>
      </c>
    </row>
    <row r="48" ht="15.75" customHeight="1">
      <c r="A48" s="63" t="str">
        <f>Escopo_EAP!A57</f>
        <v>4.3.2</v>
      </c>
      <c r="B48" s="63" t="str">
        <f>TRIM(Escopo_EAP!C57)</f>
        <v>– Comparação com hash esperado e tratamento de falha</v>
      </c>
      <c r="C48" s="64" t="s">
        <v>60</v>
      </c>
      <c r="D48" s="65">
        <f>IFERROR(Planning_Poker!J39,0)</f>
        <v>0.5</v>
      </c>
      <c r="E48" s="66">
        <f t="shared" si="4"/>
        <v>46300.5</v>
      </c>
      <c r="F48" s="66">
        <f t="shared" si="1"/>
        <v>46301</v>
      </c>
      <c r="G48" s="64" t="s">
        <v>211</v>
      </c>
      <c r="H48" s="67">
        <f t="shared" si="2"/>
        <v>600</v>
      </c>
      <c r="I48" s="68">
        <v>0.0</v>
      </c>
      <c r="J48" s="64" t="s">
        <v>38</v>
      </c>
      <c r="K48" s="64">
        <f t="shared" si="3"/>
        <v>40.5</v>
      </c>
      <c r="L48" s="69" t="s">
        <v>327</v>
      </c>
    </row>
    <row r="49" ht="15.75" customHeight="1">
      <c r="A49" s="75" t="str">
        <f>Escopo_EAP!A59</f>
        <v>5.1</v>
      </c>
      <c r="B49" s="75" t="str">
        <f>TRIM(Escopo_EAP!C59)</f>
        <v>Upload de arquivos (fragmentação e catalogação)</v>
      </c>
      <c r="C49" s="76" t="s">
        <v>101</v>
      </c>
      <c r="D49" s="79">
        <f>IFERROR(Planning_Poker!J40,0)</f>
        <v>3</v>
      </c>
      <c r="E49" s="80">
        <f>$C$6</f>
        <v>46302</v>
      </c>
      <c r="F49" s="80">
        <f t="shared" si="1"/>
        <v>46305</v>
      </c>
      <c r="G49" s="76" t="s">
        <v>213</v>
      </c>
      <c r="H49" s="81">
        <f t="shared" si="2"/>
        <v>3600</v>
      </c>
      <c r="I49" s="82">
        <v>0.0</v>
      </c>
      <c r="J49" s="76" t="s">
        <v>38</v>
      </c>
      <c r="K49" s="76">
        <f t="shared" si="3"/>
        <v>42</v>
      </c>
      <c r="L49" s="83" t="s">
        <v>353</v>
      </c>
    </row>
    <row r="50" ht="15.75" customHeight="1">
      <c r="A50" s="75" t="str">
        <f>Escopo_EAP!A60</f>
        <v>5.2</v>
      </c>
      <c r="B50" s="75" t="str">
        <f>TRIM(Escopo_EAP!C60)</f>
        <v>Distribuição resiliente de fragmentos</v>
      </c>
      <c r="C50" s="76" t="s">
        <v>101</v>
      </c>
      <c r="D50" s="79">
        <f>IFERROR(Planning_Poker!J41,0)</f>
        <v>3</v>
      </c>
      <c r="E50" s="80">
        <f t="shared" ref="E50:E56" si="5">F49</f>
        <v>46305</v>
      </c>
      <c r="F50" s="80">
        <f t="shared" si="1"/>
        <v>46308</v>
      </c>
      <c r="G50" s="76" t="s">
        <v>219</v>
      </c>
      <c r="H50" s="81">
        <f t="shared" si="2"/>
        <v>3600</v>
      </c>
      <c r="I50" s="82">
        <v>0.0</v>
      </c>
      <c r="J50" s="76" t="s">
        <v>38</v>
      </c>
      <c r="K50" s="76">
        <f t="shared" si="3"/>
        <v>45</v>
      </c>
      <c r="L50" s="83" t="s">
        <v>353</v>
      </c>
    </row>
    <row r="51" ht="15.75" customHeight="1">
      <c r="A51" s="75" t="str">
        <f>Escopo_EAP!A61</f>
        <v>5.3</v>
      </c>
      <c r="B51" s="75" t="str">
        <f>TRIM(Escopo_EAP!C61)</f>
        <v>Eleição de um novo Tracker em caso de falha</v>
      </c>
      <c r="C51" s="76" t="s">
        <v>101</v>
      </c>
      <c r="D51" s="79">
        <f>IFERROR(Planning_Poker!J42,0)</f>
        <v>2.5</v>
      </c>
      <c r="E51" s="80">
        <f t="shared" si="5"/>
        <v>46308</v>
      </c>
      <c r="F51" s="80">
        <f t="shared" si="1"/>
        <v>46310.5</v>
      </c>
      <c r="G51" s="76" t="s">
        <v>140</v>
      </c>
      <c r="H51" s="81">
        <f t="shared" si="2"/>
        <v>3000</v>
      </c>
      <c r="I51" s="82">
        <v>0.0</v>
      </c>
      <c r="J51" s="76" t="s">
        <v>38</v>
      </c>
      <c r="K51" s="76">
        <f t="shared" si="3"/>
        <v>48</v>
      </c>
      <c r="L51" s="83" t="s">
        <v>353</v>
      </c>
    </row>
    <row r="52" ht="15.75" customHeight="1">
      <c r="A52" s="75" t="str">
        <f>Escopo_EAP!A62</f>
        <v>5.4</v>
      </c>
      <c r="B52" s="75" t="str">
        <f>TRIM(Escopo_EAP!C62)</f>
        <v>Modo de lockdown automático da rede</v>
      </c>
      <c r="C52" s="76" t="s">
        <v>101</v>
      </c>
      <c r="D52" s="79">
        <f>IFERROR(Planning_Poker!J43,0)</f>
        <v>2</v>
      </c>
      <c r="E52" s="80">
        <f t="shared" si="5"/>
        <v>46310.5</v>
      </c>
      <c r="F52" s="80">
        <f t="shared" si="1"/>
        <v>46312.5</v>
      </c>
      <c r="G52" s="76" t="s">
        <v>225</v>
      </c>
      <c r="H52" s="81">
        <f t="shared" si="2"/>
        <v>2400</v>
      </c>
      <c r="I52" s="82">
        <v>0.0</v>
      </c>
      <c r="J52" s="76" t="s">
        <v>38</v>
      </c>
      <c r="K52" s="76">
        <f t="shared" si="3"/>
        <v>50.5</v>
      </c>
      <c r="L52" s="83" t="s">
        <v>353</v>
      </c>
    </row>
    <row r="53" ht="15.75" customHeight="1">
      <c r="A53" s="75" t="str">
        <f>Escopo_EAP!A63</f>
        <v>5.5</v>
      </c>
      <c r="B53" s="75" t="str">
        <f>TRIM(Escopo_EAP!C63)</f>
        <v>Gestão de permissões mais granular</v>
      </c>
      <c r="C53" s="76" t="s">
        <v>101</v>
      </c>
      <c r="D53" s="79">
        <f>IFERROR(Planning_Poker!J44,0)</f>
        <v>1.5</v>
      </c>
      <c r="E53" s="80">
        <f t="shared" si="5"/>
        <v>46312.5</v>
      </c>
      <c r="F53" s="80">
        <f t="shared" si="1"/>
        <v>46314</v>
      </c>
      <c r="G53" s="76" t="s">
        <v>121</v>
      </c>
      <c r="H53" s="81">
        <f t="shared" si="2"/>
        <v>1800</v>
      </c>
      <c r="I53" s="82">
        <v>0.0</v>
      </c>
      <c r="J53" s="76" t="s">
        <v>38</v>
      </c>
      <c r="K53" s="76">
        <f t="shared" si="3"/>
        <v>52.5</v>
      </c>
      <c r="L53" s="83" t="s">
        <v>353</v>
      </c>
    </row>
    <row r="54" ht="15.75" customHeight="1">
      <c r="A54" s="75" t="str">
        <f>Escopo_EAP!A65</f>
        <v>6.1</v>
      </c>
      <c r="B54" s="75" t="str">
        <f>TRIM(Escopo_EAP!C65)</f>
        <v>Testes de integração</v>
      </c>
      <c r="C54" s="76" t="s">
        <v>50</v>
      </c>
      <c r="D54" s="79">
        <f>IFERROR(Planning_Poker!J45,0)</f>
        <v>2</v>
      </c>
      <c r="E54" s="80">
        <f t="shared" si="5"/>
        <v>46314</v>
      </c>
      <c r="F54" s="80">
        <f t="shared" si="1"/>
        <v>46316</v>
      </c>
      <c r="G54" s="76" t="s">
        <v>355</v>
      </c>
      <c r="H54" s="81">
        <f t="shared" si="2"/>
        <v>2400</v>
      </c>
      <c r="I54" s="82">
        <v>0.0</v>
      </c>
      <c r="J54" s="76" t="s">
        <v>38</v>
      </c>
      <c r="K54" s="76">
        <f t="shared" si="3"/>
        <v>54</v>
      </c>
      <c r="L54" s="83" t="s">
        <v>353</v>
      </c>
    </row>
    <row r="55" ht="15.75" customHeight="1">
      <c r="A55" s="75" t="str">
        <f>Escopo_EAP!A66</f>
        <v>6.2</v>
      </c>
      <c r="B55" s="75" t="str">
        <f>TRIM(Escopo_EAP!C66)</f>
        <v>Documentação (README, licença MIT)</v>
      </c>
      <c r="C55" s="76" t="s">
        <v>70</v>
      </c>
      <c r="D55" s="79">
        <f>IFERROR(Planning_Poker!J46,0)</f>
        <v>1</v>
      </c>
      <c r="E55" s="80">
        <f t="shared" si="5"/>
        <v>46316</v>
      </c>
      <c r="F55" s="80">
        <f t="shared" si="1"/>
        <v>46317</v>
      </c>
      <c r="G55" s="76" t="s">
        <v>237</v>
      </c>
      <c r="H55" s="81">
        <f t="shared" si="2"/>
        <v>1200</v>
      </c>
      <c r="I55" s="82">
        <v>0.0</v>
      </c>
      <c r="J55" s="76" t="s">
        <v>38</v>
      </c>
      <c r="K55" s="76">
        <f t="shared" si="3"/>
        <v>56</v>
      </c>
      <c r="L55" s="83" t="s">
        <v>353</v>
      </c>
    </row>
    <row r="56" ht="15.75" customHeight="1">
      <c r="A56" s="75" t="str">
        <f>Escopo_EAP!A67</f>
        <v>6.3</v>
      </c>
      <c r="B56" s="75" t="str">
        <f>TRIM(Escopo_EAP!C67)</f>
        <v>Preparação das apresentações</v>
      </c>
      <c r="C56" s="76" t="s">
        <v>36</v>
      </c>
      <c r="D56" s="79">
        <f>IFERROR(Planning_Poker!J47,0)</f>
        <v>1</v>
      </c>
      <c r="E56" s="80">
        <f t="shared" si="5"/>
        <v>46317</v>
      </c>
      <c r="F56" s="80">
        <f t="shared" si="1"/>
        <v>46318</v>
      </c>
      <c r="G56" s="76" t="s">
        <v>356</v>
      </c>
      <c r="H56" s="81">
        <f t="shared" si="2"/>
        <v>1200</v>
      </c>
      <c r="I56" s="82">
        <v>0.0</v>
      </c>
      <c r="J56" s="76" t="s">
        <v>38</v>
      </c>
      <c r="K56" s="76">
        <f t="shared" si="3"/>
        <v>57</v>
      </c>
      <c r="L56" s="83" t="s">
        <v>353</v>
      </c>
    </row>
    <row r="57" ht="15.75" customHeight="1">
      <c r="A57" s="93"/>
      <c r="B57" s="45" t="s">
        <v>358</v>
      </c>
      <c r="C57" s="93"/>
      <c r="D57" s="94">
        <f>SUM(D13:D56)</f>
        <v>44</v>
      </c>
      <c r="E57" s="93"/>
      <c r="F57" s="93"/>
      <c r="G57" s="93"/>
      <c r="H57" s="96">
        <f>SUM(H13:H56)</f>
        <v>52800</v>
      </c>
      <c r="I57" s="93"/>
      <c r="J57" s="93"/>
      <c r="K57" s="93"/>
      <c r="L57" s="93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2:L2"/>
    <mergeCell ref="A10:L10"/>
  </mergeCells>
  <dataValidations>
    <dataValidation type="list" allowBlank="1" sqref="J13:J56">
      <formula1>Listas!$A$2:$A$5</formula1>
    </dataValidation>
  </dataValidations>
  <printOptions/>
  <pageMargins bottom="0.75" footer="0.0" header="0.0" left="1.0" right="1.0" top="0.75"/>
  <pageSetup fitToHeight="0"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42.0"/>
    <col customWidth="1" min="4" max="4" width="12.0"/>
    <col customWidth="1" min="5" max="5" width="13.0"/>
    <col customWidth="1" min="6" max="6" width="10.0"/>
    <col customWidth="1" min="7" max="7" width="11.0"/>
    <col customWidth="1" min="8" max="8" width="10.0"/>
    <col customWidth="1" min="9" max="9" width="14.0"/>
    <col customWidth="1" min="10" max="11" width="34.0"/>
    <col customWidth="1" min="12" max="12" width="16.0"/>
    <col customWidth="1" min="13" max="13" width="14.0"/>
    <col customWidth="1" min="14" max="26" width="8.71"/>
  </cols>
  <sheetData>
    <row r="1" ht="25.5" customHeight="1">
      <c r="A1" s="1" t="s">
        <v>254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3"/>
    </row>
    <row r="2">
      <c r="A2" s="5" t="s">
        <v>255</v>
      </c>
    </row>
    <row r="4" ht="31.5" customHeight="1">
      <c r="A4" s="9" t="s">
        <v>7</v>
      </c>
      <c r="B4" s="9" t="s">
        <v>256</v>
      </c>
      <c r="C4" s="9" t="s">
        <v>257</v>
      </c>
      <c r="D4" s="9" t="s">
        <v>258</v>
      </c>
      <c r="E4" s="9" t="s">
        <v>259</v>
      </c>
      <c r="F4" s="9" t="s">
        <v>260</v>
      </c>
      <c r="G4" s="9" t="s">
        <v>261</v>
      </c>
      <c r="H4" s="9" t="s">
        <v>262</v>
      </c>
      <c r="I4" s="9" t="s">
        <v>263</v>
      </c>
      <c r="J4" s="9" t="s">
        <v>264</v>
      </c>
      <c r="K4" s="9" t="s">
        <v>265</v>
      </c>
      <c r="L4" s="9" t="s">
        <v>13</v>
      </c>
      <c r="M4" s="9" t="s">
        <v>15</v>
      </c>
    </row>
    <row r="5">
      <c r="A5" s="32">
        <v>1.0</v>
      </c>
      <c r="B5" s="32" t="s">
        <v>266</v>
      </c>
      <c r="C5" s="39" t="s">
        <v>267</v>
      </c>
      <c r="D5" s="32" t="s">
        <v>268</v>
      </c>
      <c r="E5" s="40">
        <v>0.6</v>
      </c>
      <c r="F5" s="31">
        <v>1.0</v>
      </c>
      <c r="G5" s="41">
        <f t="shared" ref="G5:G12" si="1">E5*F5</f>
        <v>0.6</v>
      </c>
      <c r="H5" s="32">
        <f t="shared" ref="H5:H18" si="2">IFERROR(RANK(G5,$G$5:$G$18,0),"")</f>
        <v>1</v>
      </c>
      <c r="I5" s="32" t="s">
        <v>269</v>
      </c>
      <c r="J5" s="39" t="s">
        <v>270</v>
      </c>
      <c r="K5" s="39" t="s">
        <v>271</v>
      </c>
      <c r="L5" s="32"/>
      <c r="M5" s="32" t="s">
        <v>38</v>
      </c>
    </row>
    <row r="6">
      <c r="A6" s="37">
        <v>2.0</v>
      </c>
      <c r="B6" s="37" t="s">
        <v>266</v>
      </c>
      <c r="C6" s="42" t="s">
        <v>272</v>
      </c>
      <c r="D6" s="37" t="s">
        <v>268</v>
      </c>
      <c r="E6" s="43">
        <v>0.4</v>
      </c>
      <c r="F6" s="36">
        <v>0.8</v>
      </c>
      <c r="G6" s="44">
        <f t="shared" si="1"/>
        <v>0.32</v>
      </c>
      <c r="H6" s="37">
        <f t="shared" si="2"/>
        <v>5</v>
      </c>
      <c r="I6" s="37" t="s">
        <v>269</v>
      </c>
      <c r="J6" s="42" t="s">
        <v>273</v>
      </c>
      <c r="K6" s="42" t="s">
        <v>274</v>
      </c>
      <c r="L6" s="37"/>
      <c r="M6" s="37" t="s">
        <v>38</v>
      </c>
    </row>
    <row r="7">
      <c r="A7" s="32">
        <v>3.0</v>
      </c>
      <c r="B7" s="32" t="s">
        <v>275</v>
      </c>
      <c r="C7" s="39" t="s">
        <v>276</v>
      </c>
      <c r="D7" s="32" t="s">
        <v>268</v>
      </c>
      <c r="E7" s="40">
        <v>0.6</v>
      </c>
      <c r="F7" s="31">
        <v>0.6</v>
      </c>
      <c r="G7" s="41">
        <f t="shared" si="1"/>
        <v>0.36</v>
      </c>
      <c r="H7" s="32">
        <f t="shared" si="2"/>
        <v>3</v>
      </c>
      <c r="I7" s="32" t="s">
        <v>278</v>
      </c>
      <c r="J7" s="39" t="s">
        <v>279</v>
      </c>
      <c r="K7" s="39" t="s">
        <v>280</v>
      </c>
      <c r="L7" s="32"/>
      <c r="M7" s="32" t="s">
        <v>38</v>
      </c>
    </row>
    <row r="8">
      <c r="A8" s="37">
        <v>4.0</v>
      </c>
      <c r="B8" s="37" t="s">
        <v>266</v>
      </c>
      <c r="C8" s="42" t="s">
        <v>282</v>
      </c>
      <c r="D8" s="37" t="s">
        <v>268</v>
      </c>
      <c r="E8" s="43">
        <v>0.4</v>
      </c>
      <c r="F8" s="36">
        <v>0.6</v>
      </c>
      <c r="G8" s="44">
        <f t="shared" si="1"/>
        <v>0.24</v>
      </c>
      <c r="H8" s="37">
        <f t="shared" si="2"/>
        <v>6</v>
      </c>
      <c r="I8" s="37" t="s">
        <v>269</v>
      </c>
      <c r="J8" s="42" t="s">
        <v>285</v>
      </c>
      <c r="K8" s="42" t="s">
        <v>286</v>
      </c>
      <c r="L8" s="37"/>
      <c r="M8" s="37" t="s">
        <v>38</v>
      </c>
    </row>
    <row r="9">
      <c r="A9" s="32">
        <v>5.0</v>
      </c>
      <c r="B9" s="32" t="s">
        <v>287</v>
      </c>
      <c r="C9" s="39" t="s">
        <v>288</v>
      </c>
      <c r="D9" s="32" t="s">
        <v>268</v>
      </c>
      <c r="E9" s="40">
        <v>0.4</v>
      </c>
      <c r="F9" s="31">
        <v>0.6</v>
      </c>
      <c r="G9" s="41">
        <f t="shared" si="1"/>
        <v>0.24</v>
      </c>
      <c r="H9" s="32">
        <f t="shared" si="2"/>
        <v>6</v>
      </c>
      <c r="I9" s="32" t="s">
        <v>269</v>
      </c>
      <c r="J9" s="39" t="s">
        <v>290</v>
      </c>
      <c r="K9" s="39" t="s">
        <v>291</v>
      </c>
      <c r="L9" s="32"/>
      <c r="M9" s="32" t="s">
        <v>38</v>
      </c>
    </row>
    <row r="10">
      <c r="A10" s="37">
        <v>6.0</v>
      </c>
      <c r="B10" s="37" t="s">
        <v>293</v>
      </c>
      <c r="C10" s="42" t="s">
        <v>294</v>
      </c>
      <c r="D10" s="37" t="s">
        <v>268</v>
      </c>
      <c r="E10" s="43">
        <v>0.2</v>
      </c>
      <c r="F10" s="36">
        <v>1.0</v>
      </c>
      <c r="G10" s="44">
        <f t="shared" si="1"/>
        <v>0.2</v>
      </c>
      <c r="H10" s="37">
        <f t="shared" si="2"/>
        <v>8</v>
      </c>
      <c r="I10" s="37" t="s">
        <v>278</v>
      </c>
      <c r="J10" s="42" t="s">
        <v>296</v>
      </c>
      <c r="K10" s="42" t="s">
        <v>297</v>
      </c>
      <c r="L10" s="37"/>
      <c r="M10" s="37" t="s">
        <v>38</v>
      </c>
    </row>
    <row r="11">
      <c r="A11" s="32">
        <v>7.0</v>
      </c>
      <c r="B11" s="32" t="s">
        <v>266</v>
      </c>
      <c r="C11" s="39" t="s">
        <v>299</v>
      </c>
      <c r="D11" s="32" t="s">
        <v>268</v>
      </c>
      <c r="E11" s="40">
        <v>0.6</v>
      </c>
      <c r="F11" s="31">
        <v>0.6</v>
      </c>
      <c r="G11" s="41">
        <f t="shared" si="1"/>
        <v>0.36</v>
      </c>
      <c r="H11" s="32">
        <f t="shared" si="2"/>
        <v>3</v>
      </c>
      <c r="I11" s="32" t="s">
        <v>269</v>
      </c>
      <c r="J11" s="39" t="s">
        <v>304</v>
      </c>
      <c r="K11" s="39" t="s">
        <v>305</v>
      </c>
      <c r="L11" s="32"/>
      <c r="M11" s="32" t="s">
        <v>38</v>
      </c>
    </row>
    <row r="12">
      <c r="A12" s="37">
        <v>8.0</v>
      </c>
      <c r="B12" s="37" t="s">
        <v>275</v>
      </c>
      <c r="C12" s="42" t="s">
        <v>308</v>
      </c>
      <c r="D12" s="37" t="s">
        <v>268</v>
      </c>
      <c r="E12" s="43">
        <v>0.6</v>
      </c>
      <c r="F12" s="36">
        <v>0.8</v>
      </c>
      <c r="G12" s="44">
        <f t="shared" si="1"/>
        <v>0.48</v>
      </c>
      <c r="H12" s="37">
        <f t="shared" si="2"/>
        <v>2</v>
      </c>
      <c r="I12" s="37" t="s">
        <v>269</v>
      </c>
      <c r="J12" s="42" t="s">
        <v>310</v>
      </c>
      <c r="K12" s="42" t="s">
        <v>312</v>
      </c>
      <c r="L12" s="37"/>
      <c r="M12" s="37" t="s">
        <v>38</v>
      </c>
    </row>
    <row r="13">
      <c r="A13" s="32">
        <v>9.0</v>
      </c>
      <c r="B13" s="32"/>
      <c r="C13" s="32"/>
      <c r="D13" s="32"/>
      <c r="E13" s="32"/>
      <c r="F13" s="32"/>
      <c r="G13" s="41">
        <f t="shared" ref="G13:G18" si="3">IFERROR(E13*F13,"")</f>
        <v>0</v>
      </c>
      <c r="H13" s="32">
        <f t="shared" si="2"/>
        <v>9</v>
      </c>
      <c r="I13" s="32"/>
      <c r="J13" s="32"/>
      <c r="K13" s="32"/>
      <c r="L13" s="32"/>
      <c r="M13" s="32" t="s">
        <v>38</v>
      </c>
    </row>
    <row r="14">
      <c r="A14" s="37">
        <v>10.0</v>
      </c>
      <c r="B14" s="37"/>
      <c r="C14" s="37"/>
      <c r="D14" s="37"/>
      <c r="E14" s="37"/>
      <c r="F14" s="37"/>
      <c r="G14" s="44">
        <f t="shared" si="3"/>
        <v>0</v>
      </c>
      <c r="H14" s="37">
        <f t="shared" si="2"/>
        <v>9</v>
      </c>
      <c r="I14" s="37"/>
      <c r="J14" s="37"/>
      <c r="K14" s="37"/>
      <c r="L14" s="37"/>
      <c r="M14" s="37" t="s">
        <v>38</v>
      </c>
    </row>
    <row r="15">
      <c r="A15" s="32">
        <v>11.0</v>
      </c>
      <c r="B15" s="32"/>
      <c r="C15" s="32"/>
      <c r="D15" s="32"/>
      <c r="E15" s="32"/>
      <c r="F15" s="32"/>
      <c r="G15" s="41">
        <f t="shared" si="3"/>
        <v>0</v>
      </c>
      <c r="H15" s="32">
        <f t="shared" si="2"/>
        <v>9</v>
      </c>
      <c r="I15" s="32"/>
      <c r="J15" s="32"/>
      <c r="K15" s="32"/>
      <c r="L15" s="32"/>
      <c r="M15" s="32" t="s">
        <v>38</v>
      </c>
    </row>
    <row r="16">
      <c r="A16" s="37">
        <v>12.0</v>
      </c>
      <c r="B16" s="37"/>
      <c r="C16" s="37"/>
      <c r="D16" s="37"/>
      <c r="E16" s="37"/>
      <c r="F16" s="37"/>
      <c r="G16" s="44">
        <f t="shared" si="3"/>
        <v>0</v>
      </c>
      <c r="H16" s="37">
        <f t="shared" si="2"/>
        <v>9</v>
      </c>
      <c r="I16" s="37"/>
      <c r="J16" s="37"/>
      <c r="K16" s="37"/>
      <c r="L16" s="37"/>
      <c r="M16" s="37" t="s">
        <v>38</v>
      </c>
    </row>
    <row r="17">
      <c r="A17" s="32">
        <v>13.0</v>
      </c>
      <c r="B17" s="32"/>
      <c r="C17" s="32"/>
      <c r="D17" s="32"/>
      <c r="E17" s="32"/>
      <c r="F17" s="32"/>
      <c r="G17" s="41">
        <f t="shared" si="3"/>
        <v>0</v>
      </c>
      <c r="H17" s="32">
        <f t="shared" si="2"/>
        <v>9</v>
      </c>
      <c r="I17" s="32"/>
      <c r="J17" s="32"/>
      <c r="K17" s="32"/>
      <c r="L17" s="32"/>
      <c r="M17" s="32" t="s">
        <v>38</v>
      </c>
    </row>
    <row r="18">
      <c r="A18" s="37">
        <v>14.0</v>
      </c>
      <c r="B18" s="37"/>
      <c r="C18" s="37"/>
      <c r="D18" s="37"/>
      <c r="E18" s="37"/>
      <c r="F18" s="37"/>
      <c r="G18" s="44">
        <f t="shared" si="3"/>
        <v>0</v>
      </c>
      <c r="H18" s="37">
        <f t="shared" si="2"/>
        <v>9</v>
      </c>
      <c r="I18" s="37"/>
      <c r="J18" s="37"/>
      <c r="K18" s="37"/>
      <c r="L18" s="37"/>
      <c r="M18" s="37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conditionalFormatting sqref="G5:G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>
    <dataValidation type="list" allowBlank="1" sqref="I5:I18">
      <formula1>Listas!$G$2:$G$8</formula1>
    </dataValidation>
    <dataValidation type="list" allowBlank="1" sqref="D5:D18">
      <formula1>Listas!$K$2:$K$3</formula1>
    </dataValidation>
    <dataValidation type="list" allowBlank="1" sqref="M5:M18">
      <formula1>Listas!$A$2:$A$5</formula1>
    </dataValidation>
    <dataValidation type="list" allowBlank="1" sqref="E5:E18">
      <formula1>Listas!$C$2:$C$6</formula1>
    </dataValidation>
    <dataValidation type="list" allowBlank="1" sqref="F5:F18">
      <formula1>Listas!$E$2:$E$6</formula1>
    </dataValidation>
    <dataValidation type="list" allowBlank="1" sqref="B5:B18">
      <formula1>Listas!$I$2:$I$6</formula1>
    </dataValidation>
  </dataValidations>
  <printOptions/>
  <pageMargins bottom="0.75" footer="0.0" header="0.0" left="1.0" right="1.0" top="0.7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4" width="24.0"/>
    <col customWidth="1" min="5" max="26" width="8.71"/>
  </cols>
  <sheetData>
    <row r="1" ht="25.5" customHeight="1">
      <c r="A1" s="1" t="s">
        <v>329</v>
      </c>
      <c r="B1" s="4"/>
      <c r="C1" s="4"/>
      <c r="D1" s="3"/>
    </row>
    <row r="2">
      <c r="A2" s="5" t="s">
        <v>330</v>
      </c>
    </row>
    <row r="4">
      <c r="A4" s="6" t="s">
        <v>331</v>
      </c>
      <c r="C4" s="70">
        <f>SUM(Planning_Poker!J5:J39)</f>
        <v>27</v>
      </c>
    </row>
    <row r="5">
      <c r="A5" s="6" t="s">
        <v>332</v>
      </c>
      <c r="C5" s="8">
        <v>27.0</v>
      </c>
    </row>
    <row r="7" ht="31.5" customHeight="1">
      <c r="A7" s="9" t="s">
        <v>333</v>
      </c>
      <c r="B7" s="9" t="s">
        <v>334</v>
      </c>
      <c r="C7" s="9" t="s">
        <v>335</v>
      </c>
      <c r="D7" s="9" t="s">
        <v>336</v>
      </c>
    </row>
    <row r="8">
      <c r="A8" s="32">
        <v>0.0</v>
      </c>
      <c r="B8" s="71">
        <f>Cronograma_Orcamento!$C$5+A8</f>
        <v>46274</v>
      </c>
      <c r="C8" s="31">
        <f t="shared" ref="C8:C35" si="1">$C$4*(1-A8/$C$5)</f>
        <v>27</v>
      </c>
      <c r="D8" s="72">
        <f>$C$4</f>
        <v>27</v>
      </c>
    </row>
    <row r="9">
      <c r="A9" s="37">
        <v>1.0</v>
      </c>
      <c r="B9" s="73">
        <f>Cronograma_Orcamento!$C$5+A9</f>
        <v>46275</v>
      </c>
      <c r="C9" s="36">
        <f t="shared" si="1"/>
        <v>26</v>
      </c>
      <c r="D9" s="35"/>
    </row>
    <row r="10">
      <c r="A10" s="32">
        <v>2.0</v>
      </c>
      <c r="B10" s="71">
        <f>Cronograma_Orcamento!$C$5+A10</f>
        <v>46276</v>
      </c>
      <c r="C10" s="31">
        <f t="shared" si="1"/>
        <v>25</v>
      </c>
      <c r="D10" s="30"/>
    </row>
    <row r="11">
      <c r="A11" s="37">
        <v>3.0</v>
      </c>
      <c r="B11" s="73">
        <f>Cronograma_Orcamento!$C$5+A11</f>
        <v>46277</v>
      </c>
      <c r="C11" s="36">
        <f t="shared" si="1"/>
        <v>24</v>
      </c>
      <c r="D11" s="35"/>
    </row>
    <row r="12">
      <c r="A12" s="32">
        <v>4.0</v>
      </c>
      <c r="B12" s="71">
        <f>Cronograma_Orcamento!$C$5+A12</f>
        <v>46278</v>
      </c>
      <c r="C12" s="31">
        <f t="shared" si="1"/>
        <v>23</v>
      </c>
      <c r="D12" s="30"/>
    </row>
    <row r="13">
      <c r="A13" s="37">
        <v>5.0</v>
      </c>
      <c r="B13" s="73">
        <f>Cronograma_Orcamento!$C$5+A13</f>
        <v>46279</v>
      </c>
      <c r="C13" s="36">
        <f t="shared" si="1"/>
        <v>22</v>
      </c>
      <c r="D13" s="35"/>
    </row>
    <row r="14">
      <c r="A14" s="32">
        <v>6.0</v>
      </c>
      <c r="B14" s="71">
        <f>Cronograma_Orcamento!$C$5+A14</f>
        <v>46280</v>
      </c>
      <c r="C14" s="31">
        <f t="shared" si="1"/>
        <v>21</v>
      </c>
      <c r="D14" s="30"/>
    </row>
    <row r="15">
      <c r="A15" s="37">
        <v>7.0</v>
      </c>
      <c r="B15" s="73">
        <f>Cronograma_Orcamento!$C$5+A15</f>
        <v>46281</v>
      </c>
      <c r="C15" s="36">
        <f t="shared" si="1"/>
        <v>20</v>
      </c>
      <c r="D15" s="35"/>
    </row>
    <row r="16">
      <c r="A16" s="32">
        <v>8.0</v>
      </c>
      <c r="B16" s="71">
        <f>Cronograma_Orcamento!$C$5+A16</f>
        <v>46282</v>
      </c>
      <c r="C16" s="31">
        <f t="shared" si="1"/>
        <v>19</v>
      </c>
      <c r="D16" s="30"/>
    </row>
    <row r="17">
      <c r="A17" s="37">
        <v>9.0</v>
      </c>
      <c r="B17" s="73">
        <f>Cronograma_Orcamento!$C$5+A17</f>
        <v>46283</v>
      </c>
      <c r="C17" s="36">
        <f t="shared" si="1"/>
        <v>18</v>
      </c>
      <c r="D17" s="35"/>
    </row>
    <row r="18">
      <c r="A18" s="32">
        <v>10.0</v>
      </c>
      <c r="B18" s="71">
        <f>Cronograma_Orcamento!$C$5+A18</f>
        <v>46284</v>
      </c>
      <c r="C18" s="31">
        <f t="shared" si="1"/>
        <v>17</v>
      </c>
      <c r="D18" s="30"/>
    </row>
    <row r="19">
      <c r="A19" s="37">
        <v>11.0</v>
      </c>
      <c r="B19" s="73">
        <f>Cronograma_Orcamento!$C$5+A19</f>
        <v>46285</v>
      </c>
      <c r="C19" s="36">
        <f t="shared" si="1"/>
        <v>16</v>
      </c>
      <c r="D19" s="35"/>
    </row>
    <row r="20">
      <c r="A20" s="32">
        <v>12.0</v>
      </c>
      <c r="B20" s="71">
        <f>Cronograma_Orcamento!$C$5+A20</f>
        <v>46286</v>
      </c>
      <c r="C20" s="31">
        <f t="shared" si="1"/>
        <v>15</v>
      </c>
      <c r="D20" s="30"/>
    </row>
    <row r="21" ht="15.75" customHeight="1">
      <c r="A21" s="37">
        <v>13.0</v>
      </c>
      <c r="B21" s="73">
        <f>Cronograma_Orcamento!$C$5+A21</f>
        <v>46287</v>
      </c>
      <c r="C21" s="36">
        <f t="shared" si="1"/>
        <v>14</v>
      </c>
      <c r="D21" s="35"/>
    </row>
    <row r="22" ht="15.75" customHeight="1">
      <c r="A22" s="32">
        <v>14.0</v>
      </c>
      <c r="B22" s="71">
        <f>Cronograma_Orcamento!$C$5+A22</f>
        <v>46288</v>
      </c>
      <c r="C22" s="31">
        <f t="shared" si="1"/>
        <v>13</v>
      </c>
      <c r="D22" s="30"/>
    </row>
    <row r="23" ht="15.75" customHeight="1">
      <c r="A23" s="37">
        <v>15.0</v>
      </c>
      <c r="B23" s="73">
        <f>Cronograma_Orcamento!$C$5+A23</f>
        <v>46289</v>
      </c>
      <c r="C23" s="36">
        <f t="shared" si="1"/>
        <v>12</v>
      </c>
      <c r="D23" s="35"/>
    </row>
    <row r="24" ht="15.75" customHeight="1">
      <c r="A24" s="32">
        <v>16.0</v>
      </c>
      <c r="B24" s="71">
        <f>Cronograma_Orcamento!$C$5+A24</f>
        <v>46290</v>
      </c>
      <c r="C24" s="31">
        <f t="shared" si="1"/>
        <v>11</v>
      </c>
      <c r="D24" s="30"/>
    </row>
    <row r="25" ht="15.75" customHeight="1">
      <c r="A25" s="37">
        <v>17.0</v>
      </c>
      <c r="B25" s="73">
        <f>Cronograma_Orcamento!$C$5+A25</f>
        <v>46291</v>
      </c>
      <c r="C25" s="36">
        <f t="shared" si="1"/>
        <v>10</v>
      </c>
      <c r="D25" s="35"/>
    </row>
    <row r="26" ht="15.75" customHeight="1">
      <c r="A26" s="32">
        <v>18.0</v>
      </c>
      <c r="B26" s="71">
        <f>Cronograma_Orcamento!$C$5+A26</f>
        <v>46292</v>
      </c>
      <c r="C26" s="31">
        <f t="shared" si="1"/>
        <v>9</v>
      </c>
      <c r="D26" s="30"/>
    </row>
    <row r="27" ht="15.75" customHeight="1">
      <c r="A27" s="37">
        <v>19.0</v>
      </c>
      <c r="B27" s="73">
        <f>Cronograma_Orcamento!$C$5+A27</f>
        <v>46293</v>
      </c>
      <c r="C27" s="36">
        <f t="shared" si="1"/>
        <v>8</v>
      </c>
      <c r="D27" s="35"/>
    </row>
    <row r="28" ht="15.75" customHeight="1">
      <c r="A28" s="32">
        <v>20.0</v>
      </c>
      <c r="B28" s="71">
        <f>Cronograma_Orcamento!$C$5+A28</f>
        <v>46294</v>
      </c>
      <c r="C28" s="31">
        <f t="shared" si="1"/>
        <v>7</v>
      </c>
      <c r="D28" s="30"/>
    </row>
    <row r="29" ht="15.75" customHeight="1">
      <c r="A29" s="37">
        <v>21.0</v>
      </c>
      <c r="B29" s="73">
        <f>Cronograma_Orcamento!$C$5+A29</f>
        <v>46295</v>
      </c>
      <c r="C29" s="36">
        <f t="shared" si="1"/>
        <v>6</v>
      </c>
      <c r="D29" s="35"/>
    </row>
    <row r="30" ht="15.75" customHeight="1">
      <c r="A30" s="32">
        <v>22.0</v>
      </c>
      <c r="B30" s="71">
        <f>Cronograma_Orcamento!$C$5+A30</f>
        <v>46296</v>
      </c>
      <c r="C30" s="31">
        <f t="shared" si="1"/>
        <v>5</v>
      </c>
      <c r="D30" s="30"/>
    </row>
    <row r="31" ht="15.75" customHeight="1">
      <c r="A31" s="37">
        <v>23.0</v>
      </c>
      <c r="B31" s="73">
        <f>Cronograma_Orcamento!$C$5+A31</f>
        <v>46297</v>
      </c>
      <c r="C31" s="36">
        <f t="shared" si="1"/>
        <v>4</v>
      </c>
      <c r="D31" s="35"/>
    </row>
    <row r="32" ht="15.75" customHeight="1">
      <c r="A32" s="32">
        <v>24.0</v>
      </c>
      <c r="B32" s="71">
        <f>Cronograma_Orcamento!$C$5+A32</f>
        <v>46298</v>
      </c>
      <c r="C32" s="31">
        <f t="shared" si="1"/>
        <v>3</v>
      </c>
      <c r="D32" s="30"/>
    </row>
    <row r="33" ht="15.75" customHeight="1">
      <c r="A33" s="37">
        <v>25.0</v>
      </c>
      <c r="B33" s="73">
        <f>Cronograma_Orcamento!$C$5+A33</f>
        <v>46299</v>
      </c>
      <c r="C33" s="36">
        <f t="shared" si="1"/>
        <v>2</v>
      </c>
      <c r="D33" s="35"/>
    </row>
    <row r="34" ht="15.75" customHeight="1">
      <c r="A34" s="32">
        <v>26.0</v>
      </c>
      <c r="B34" s="71">
        <f>Cronograma_Orcamento!$C$5+A34</f>
        <v>46300</v>
      </c>
      <c r="C34" s="31">
        <f t="shared" si="1"/>
        <v>1</v>
      </c>
      <c r="D34" s="30"/>
    </row>
    <row r="35" ht="15.75" customHeight="1">
      <c r="A35" s="37">
        <v>27.0</v>
      </c>
      <c r="B35" s="73">
        <f>Cronograma_Orcamento!$C$5+A35</f>
        <v>46301</v>
      </c>
      <c r="C35" s="36">
        <f t="shared" si="1"/>
        <v>0</v>
      </c>
      <c r="D35" s="3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4:B4"/>
    <mergeCell ref="A5:B5"/>
  </mergeCells>
  <printOptions/>
  <pageMargins bottom="0.75" footer="0.0" header="0.0" left="1.0" right="1.0" top="0.75"/>
  <pageSetup fitToHeight="0"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4.0"/>
    <col customWidth="1" min="2" max="2" width="13.0"/>
    <col customWidth="1" min="3" max="3" width="11.86"/>
    <col customWidth="1" min="4" max="4" width="10.0"/>
    <col customWidth="1" min="5" max="8" width="13.0"/>
    <col customWidth="1" min="9" max="10" width="10.0"/>
    <col customWidth="1" min="11" max="11" width="13.0"/>
    <col customWidth="1" min="12" max="13" width="10.0"/>
    <col customWidth="1" min="14" max="26" width="8.71"/>
  </cols>
  <sheetData>
    <row r="1" ht="25.5" customHeight="1">
      <c r="A1" s="1" t="s">
        <v>337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3"/>
    </row>
    <row r="2">
      <c r="A2" s="5" t="s">
        <v>338</v>
      </c>
    </row>
    <row r="4">
      <c r="A4" s="6" t="s">
        <v>339</v>
      </c>
      <c r="C4" s="74">
        <f>Cronograma_Orcamento!H57</f>
        <v>52800</v>
      </c>
    </row>
    <row r="6" ht="31.5" customHeight="1">
      <c r="A6" s="9" t="s">
        <v>340</v>
      </c>
      <c r="B6" s="9" t="s">
        <v>334</v>
      </c>
      <c r="C6" s="9" t="s">
        <v>341</v>
      </c>
      <c r="D6" s="9" t="s">
        <v>342</v>
      </c>
      <c r="E6" s="9" t="s">
        <v>343</v>
      </c>
      <c r="F6" s="9" t="s">
        <v>344</v>
      </c>
      <c r="G6" s="9" t="s">
        <v>345</v>
      </c>
      <c r="H6" s="9" t="s">
        <v>346</v>
      </c>
      <c r="I6" s="9" t="s">
        <v>347</v>
      </c>
      <c r="J6" s="9" t="s">
        <v>348</v>
      </c>
      <c r="K6" s="9" t="s">
        <v>349</v>
      </c>
      <c r="L6" s="9" t="s">
        <v>350</v>
      </c>
      <c r="M6" s="9" t="s">
        <v>351</v>
      </c>
    </row>
    <row r="7">
      <c r="A7" s="77" t="s">
        <v>352</v>
      </c>
      <c r="B7" s="78">
        <v>46273.0</v>
      </c>
      <c r="C7" s="84">
        <f>IFERROR(SUMIF(Cronograma_Orcamento!$F$13:$F$56,"&lt;="&amp;B7,Cronograma_Orcamento!$H$13:$H$56)/$C$4,0)</f>
        <v>0.02272727273</v>
      </c>
      <c r="D7" s="84">
        <f>IFERROR(SUMPRODUCT(Cronograma_Orcamento!$I$13:$I$56,Cronograma_Orcamento!$H$13:$H$56)/$C$4,0)</f>
        <v>0.02272727273</v>
      </c>
      <c r="E7" s="85">
        <f t="shared" ref="E7:F7" si="1">$C$4*C7</f>
        <v>1200</v>
      </c>
      <c r="F7" s="85">
        <f t="shared" si="1"/>
        <v>1200</v>
      </c>
      <c r="G7" s="86">
        <f>SUMPRODUCT(Cronograma_Orcamento!$I$13:$I$56,Cronograma_Orcamento!$H$13:$H$56)</f>
        <v>1200</v>
      </c>
      <c r="H7" s="85">
        <f t="shared" ref="H7:H9" si="3">F7-G7</f>
        <v>0</v>
      </c>
      <c r="I7" s="40">
        <f t="shared" ref="I7:I9" si="4">IFERROR(H7/F7,"")</f>
        <v>0</v>
      </c>
      <c r="J7" s="41">
        <f t="shared" ref="J7:J9" si="5">IFERROR(F7/G7,"")</f>
        <v>1</v>
      </c>
      <c r="K7" s="85">
        <f t="shared" ref="K7:K9" si="6">F7-E7</f>
        <v>0</v>
      </c>
      <c r="L7" s="40">
        <f t="shared" ref="L7:L9" si="7">IFERROR(K7/E7,"")</f>
        <v>0</v>
      </c>
      <c r="M7" s="41">
        <f t="shared" ref="M7:M9" si="8">IFERROR(F7/E7,"")</f>
        <v>1</v>
      </c>
    </row>
    <row r="8">
      <c r="A8" s="87" t="s">
        <v>354</v>
      </c>
      <c r="B8" s="88">
        <v>46301.0</v>
      </c>
      <c r="C8" s="89">
        <f>IFERROR(SUMIF(Cronograma_Orcamento!$F$13:$F$56,"&lt;="&amp;B8,Cronograma_Orcamento!$H$13:$H$56)/$C$4,0)</f>
        <v>0.6363636364</v>
      </c>
      <c r="D8" s="90">
        <v>0.0</v>
      </c>
      <c r="E8" s="91">
        <f t="shared" ref="E8:F8" si="2">$C$4*C8</f>
        <v>33600</v>
      </c>
      <c r="F8" s="91">
        <f t="shared" si="2"/>
        <v>0</v>
      </c>
      <c r="G8" s="92">
        <v>0.0</v>
      </c>
      <c r="H8" s="91">
        <f t="shared" si="3"/>
        <v>0</v>
      </c>
      <c r="I8" s="43" t="str">
        <f t="shared" si="4"/>
        <v/>
      </c>
      <c r="J8" s="44" t="str">
        <f t="shared" si="5"/>
        <v/>
      </c>
      <c r="K8" s="91">
        <f t="shared" si="6"/>
        <v>-33600</v>
      </c>
      <c r="L8" s="43">
        <f t="shared" si="7"/>
        <v>-1</v>
      </c>
      <c r="M8" s="44">
        <f t="shared" si="8"/>
        <v>0</v>
      </c>
    </row>
    <row r="9">
      <c r="A9" s="77" t="s">
        <v>357</v>
      </c>
      <c r="B9" s="78">
        <v>46336.0</v>
      </c>
      <c r="C9" s="84">
        <f>IFERROR(SUMIF(Cronograma_Orcamento!$F$13:$F$56,"&lt;="&amp;B9,Cronograma_Orcamento!$H$13:$H$56)/$C$4,0)</f>
        <v>1</v>
      </c>
      <c r="D9" s="95">
        <v>0.0</v>
      </c>
      <c r="E9" s="85">
        <f t="shared" ref="E9:F9" si="9">$C$4*C9</f>
        <v>52800</v>
      </c>
      <c r="F9" s="85">
        <f t="shared" si="9"/>
        <v>0</v>
      </c>
      <c r="G9" s="98">
        <v>0.0</v>
      </c>
      <c r="H9" s="85">
        <f t="shared" si="3"/>
        <v>0</v>
      </c>
      <c r="I9" s="40" t="str">
        <f t="shared" si="4"/>
        <v/>
      </c>
      <c r="J9" s="41" t="str">
        <f t="shared" si="5"/>
        <v/>
      </c>
      <c r="K9" s="85">
        <f t="shared" si="6"/>
        <v>-52800</v>
      </c>
      <c r="L9" s="40">
        <f t="shared" si="7"/>
        <v>-1</v>
      </c>
      <c r="M9" s="41">
        <f t="shared" si="8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printOptions/>
  <pageMargins bottom="0.75" footer="0.0" header="0.0" left="1.0" right="1.0" top="0.75"/>
  <pageSetup fitToHeight="0" paperSize="9"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8.71"/>
    <col customWidth="1" min="3" max="3" width="16.0"/>
    <col customWidth="1" min="4" max="4" width="8.71"/>
    <col customWidth="1" min="5" max="5" width="16.0"/>
    <col customWidth="1" min="6" max="6" width="8.71"/>
    <col customWidth="1" min="7" max="7" width="16.0"/>
    <col customWidth="1" min="8" max="8" width="8.71"/>
    <col customWidth="1" min="9" max="9" width="16.0"/>
    <col customWidth="1" min="10" max="10" width="8.71"/>
    <col customWidth="1" min="11" max="11" width="16.0"/>
    <col customWidth="1" min="12" max="12" width="8.71"/>
    <col customWidth="1" min="13" max="13" width="16.0"/>
    <col customWidth="1" min="14" max="26" width="8.71"/>
  </cols>
  <sheetData>
    <row r="1">
      <c r="A1" s="97" t="s">
        <v>15</v>
      </c>
      <c r="C1" s="97" t="s">
        <v>259</v>
      </c>
      <c r="E1" s="97" t="s">
        <v>260</v>
      </c>
      <c r="G1" s="97" t="s">
        <v>359</v>
      </c>
      <c r="I1" s="97" t="s">
        <v>360</v>
      </c>
      <c r="K1" s="97" t="s">
        <v>361</v>
      </c>
      <c r="M1" s="97" t="s">
        <v>362</v>
      </c>
    </row>
    <row r="2">
      <c r="A2" s="97" t="s">
        <v>38</v>
      </c>
      <c r="C2" s="99">
        <v>0.2</v>
      </c>
      <c r="E2" s="100">
        <v>0.2</v>
      </c>
      <c r="G2" s="97" t="s">
        <v>363</v>
      </c>
      <c r="I2" s="97" t="s">
        <v>266</v>
      </c>
      <c r="K2" s="97" t="s">
        <v>268</v>
      </c>
      <c r="M2" s="97" t="s">
        <v>253</v>
      </c>
    </row>
    <row r="3">
      <c r="A3" s="97" t="s">
        <v>364</v>
      </c>
      <c r="C3" s="99">
        <v>0.4</v>
      </c>
      <c r="E3" s="100">
        <v>0.4</v>
      </c>
      <c r="G3" s="97" t="s">
        <v>269</v>
      </c>
      <c r="I3" s="97" t="s">
        <v>275</v>
      </c>
      <c r="K3" s="97" t="s">
        <v>365</v>
      </c>
      <c r="M3" s="97" t="s">
        <v>366</v>
      </c>
    </row>
    <row r="4">
      <c r="A4" s="97" t="s">
        <v>47</v>
      </c>
      <c r="C4" s="99">
        <v>0.6</v>
      </c>
      <c r="E4" s="100">
        <v>0.6</v>
      </c>
      <c r="G4" s="97" t="s">
        <v>367</v>
      </c>
      <c r="I4" s="97" t="s">
        <v>287</v>
      </c>
    </row>
    <row r="5">
      <c r="A5" s="97" t="s">
        <v>368</v>
      </c>
      <c r="C5" s="99">
        <v>0.8</v>
      </c>
      <c r="E5" s="100">
        <v>0.8</v>
      </c>
      <c r="G5" s="97" t="s">
        <v>278</v>
      </c>
      <c r="I5" s="97" t="s">
        <v>293</v>
      </c>
    </row>
    <row r="6">
      <c r="C6" s="99">
        <v>1.0</v>
      </c>
      <c r="E6" s="100">
        <v>1.0</v>
      </c>
      <c r="G6" s="97" t="s">
        <v>369</v>
      </c>
      <c r="I6" s="97" t="s">
        <v>370</v>
      </c>
    </row>
    <row r="7">
      <c r="G7" s="97" t="s">
        <v>371</v>
      </c>
    </row>
    <row r="8">
      <c r="G8" s="97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2026-09-08T01:16:06Z</dcterms:created>
  <dc:creator>openpyxl</dc:creator>
</cp:coreProperties>
</file>